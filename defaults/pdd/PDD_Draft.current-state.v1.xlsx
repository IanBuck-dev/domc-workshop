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alternusgmbhde.sharepoint.com/sites/2026_ZWFI/Shared Documents/Team 1_KI-Potenziale/PDD/"/>
    </mc:Choice>
  </mc:AlternateContent>
  <xr:revisionPtr revIDLastSave="0" documentId="8_{6D3B4DDA-B29E-43AF-8574-1A3C14708C3B}" xr6:coauthVersionLast="47" xr6:coauthVersionMax="47" xr10:uidLastSave="{00000000-0000-0000-0000-000000000000}"/>
  <bookViews>
    <workbookView xWindow="-38520" yWindow="-8325" windowWidth="38640" windowHeight="21120" firstSheet="2" activeTab="2" xr2:uid="{00000000-000D-0000-FFFF-FFFF00000000}"/>
  </bookViews>
  <sheets>
    <sheet name="Deckblatt" sheetId="1" r:id="rId1"/>
    <sheet name="01_Prozessdefinition" sheetId="16" r:id="rId2"/>
    <sheet name="02_Prozessschritte" sheetId="17" r:id="rId3"/>
    <sheet name="01 Projektsteckbrief" sheetId="2" r:id="rId4"/>
    <sheet name="03 Prozess" sheetId="4" r:id="rId5"/>
    <sheet name="02 Business Case" sheetId="3" r:id="rId6"/>
    <sheet name="06 Architektur Betrieb" sheetId="7" r:id="rId7"/>
    <sheet name="04 KI Use Case" sheetId="5" r:id="rId8"/>
    <sheet name="05 Daten Compliance" sheetId="6" r:id="rId9"/>
    <sheet name="07 RACI Governance" sheetId="8" r:id="rId10"/>
    <sheet name="08 Meilensteine" sheetId="9" r:id="rId11"/>
    <sheet name="09 Risiken Entscheidungen" sheetId="10" r:id="rId12"/>
    <sheet name="10 Abnahme Tests" sheetId="11" r:id="rId13"/>
    <sheet name="11 Change Kommunikation" sheetId="12" r:id="rId14"/>
    <sheet name="12 Entscheidungsvorlage" sheetId="13" r:id="rId15"/>
    <sheet name="13 Glossar Quellen" sheetId="14" r:id="rId16"/>
    <sheet name="Dashboard" sheetId="15" r:id="rId17"/>
  </sheets>
  <definedNames>
    <definedName name="_xlnm.Print_Area" localSheetId="1">'01_Prozessdefinition'!$A$1:$L$24</definedName>
    <definedName name="_xlnm.Print_Area" localSheetId="2">'02_Prozessschritte'!$A$1:$I$23</definedName>
    <definedName name="_xlnm.Print_Titles" localSheetId="1">'01_Prozessdefinition'!$1:$3</definedName>
    <definedName name="_xlnm.Print_Titles" localSheetId="2">'02_Prozessschritte'!$1:$3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5" l="1"/>
  <c r="B14" i="15"/>
  <c r="B13" i="15"/>
  <c r="B12" i="15"/>
  <c r="G16" i="10"/>
  <c r="G15" i="10"/>
  <c r="G14" i="10"/>
  <c r="G13" i="10"/>
  <c r="G12" i="10"/>
  <c r="G11" i="10"/>
  <c r="G10" i="10"/>
  <c r="G9" i="10"/>
  <c r="G8" i="10"/>
  <c r="G7" i="10"/>
  <c r="E26" i="5"/>
  <c r="E25" i="5"/>
  <c r="E24" i="5"/>
  <c r="E23" i="5"/>
  <c r="E22" i="5"/>
  <c r="E21" i="5"/>
  <c r="B10" i="15"/>
  <c r="B9" i="15"/>
  <c r="B28" i="5" l="1"/>
  <c r="B29" i="5" s="1"/>
  <c r="B7" i="15" s="1"/>
  <c r="B8" i="15"/>
  <c r="B11" i="15"/>
  <c r="B6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Zukunftswerkstatt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Bitte projektspezifisch ausfüllen.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Bitte projektspezifisch ausfüllen.</t>
        </r>
      </text>
    </comment>
    <comment ref="B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Bitte projektspezifisch ausfüllen.</t>
        </r>
      </text>
    </comment>
    <comment ref="B1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Bitte projektspezifisch ausfüllen.</t>
        </r>
      </text>
    </comment>
    <comment ref="B1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Bitte projektspezifisch ausfüllen.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Zukunftswerkstatt</author>
  </authors>
  <commentList>
    <comment ref="B17" authorId="0" shapeId="0" xr:uid="{F1802BB0-C3D7-4BB1-9F0F-394E49C8653C}">
      <text>
        <r>
          <rPr>
            <sz val="11"/>
            <color theme="1"/>
            <rFont val="Calibri"/>
            <family val="2"/>
            <scheme val="minor"/>
          </rPr>
          <t>Nur Nutzenhypothesen erfassen. Keine monetäre Bewertung, Gewichtung oder Priorisierung vorwegnehmen.</t>
        </r>
      </text>
    </comment>
    <comment ref="G21" authorId="0" shapeId="0" xr:uid="{6B47CCC7-10AB-4F9C-9386-844115F2BF78}">
      <text>
        <r>
          <rPr>
            <sz val="11"/>
            <color theme="1"/>
            <rFont val="Calibri"/>
            <family val="2"/>
            <scheme val="minor"/>
          </rPr>
          <t>Nur relevante Übergaben nennen. Keine technische Detailarchitektur erstellen.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Zukunftswerkstatt</author>
  </authors>
  <commentList>
    <comment ref="A17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Interner Bezugspunkt aus Microsoft 365 Suchergebnissen; konkrete Referenz siehe Antwort mit Zitaten.</t>
        </r>
      </text>
    </comment>
    <comment ref="A18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Interner Bezugspunkt aus Microsoft 365 Suchergebnissen; konkrete Referenz siehe Antwort mit Zitaten.</t>
        </r>
      </text>
    </comment>
    <comment ref="A19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Interner Bezugspunkt aus Microsoft 365 Suchergebnissen; konkrete Referenz siehe Antwort mit Zitaten.</t>
        </r>
      </text>
    </comment>
    <comment ref="A20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Interner Bezugspunkt aus Microsoft 365 Suchergebnissen; konkrete Referenz siehe Antwort mit Zitaten.</t>
        </r>
      </text>
    </comment>
  </commentList>
</comments>
</file>

<file path=xl/sharedStrings.xml><?xml version="1.0" encoding="utf-8"?>
<sst xmlns="http://schemas.openxmlformats.org/spreadsheetml/2006/main" count="435" uniqueCount="435">
  <si>
    <t>DOMCURA PDD – Project Definition Document</t>
  </si>
  <si>
    <t>Excel-fähige Vorlage für Projekte zur Prozessautomatisierung und zum Einsatz von KI</t>
  </si>
  <si>
    <t>Dokumentensteuerung</t>
  </si>
  <si>
    <t>Projektname</t>
  </si>
  <si>
    <t>Projekt-ID</t>
  </si>
  <si>
    <t>Projektart</t>
  </si>
  <si>
    <t>Version</t>
  </si>
  <si>
    <t>Erstellt am</t>
  </si>
  <si>
    <t>Erstellt von</t>
  </si>
  <si>
    <t>Projektverantwortlicher Fachbereich</t>
  </si>
  <si>
    <t>IT-Ansprechpartner</t>
  </si>
  <si>
    <t>Status</t>
  </si>
  <si>
    <t>Entscheidung erforderlich bis</t>
  </si>
  <si>
    <t>Vertraulichkeit</t>
  </si>
  <si>
    <t>Zweck des PDD</t>
  </si>
  <si>
    <t>Dieses Project Definition Document schafft ein einheitliches, prüfbares und entscheidungsfähiges Fundament für DOMCURA-Projekte, bei denen Prozesse automatisiert, KI-Agenten eingesetzt oder fachliche Prozesslogiken in technische bzw. agentische Ausführung überführt werden. Es trennt bewusst fachliche Verantwortung, Zielbild, Nutzen, Compliance, Daten, IT-Rahmen und Umsetzungssteuerung.</t>
  </si>
  <si>
    <t>Hinweise zur Nutzung</t>
  </si>
  <si>
    <t>Blaue Zellen sind Eingabezellen und sollten im Projekt ausgefüllt werden.</t>
  </si>
  <si>
    <t>Orange Felder weisen auf Prüf- oder Klärungsbedarf hin.</t>
  </si>
  <si>
    <t>Rote Felder markieren Risiken, offene Entscheidungen oder fehlende Muss-Angaben.</t>
  </si>
  <si>
    <t>Die Scoring- und Dashboard-Sheets nutzen Formeln und können nach Projektfortschritt aktualisiert werden.</t>
  </si>
  <si>
    <t>PROCESS DEFINITION DOCUMENT | KOMPAKT</t>
  </si>
  <si>
    <t>Zweck: Prozess auf fachlicher Ebene abgrenzen, grob skizzieren und zentrale Optimierungspotenziale erfassen. Keine Detailbewertung oder Priorisierung.</t>
  </si>
  <si>
    <t>1 | Prozess- und Projektkern</t>
  </si>
  <si>
    <t>Prozess / Use Case</t>
  </si>
  <si>
    <t>Prozesseigner</t>
  </si>
  <si>
    <t>Stand / Version</t>
  </si>
  <si>
    <t>Kurzbeschreibung</t>
  </si>
  <si>
    <t>Betroffene Bereiche</t>
  </si>
  <si>
    <t>Ausgangslage / Problem</t>
  </si>
  <si>
    <t>Zielbild</t>
  </si>
  <si>
    <t>Prozessziel</t>
  </si>
  <si>
    <t>Abgrenzung</t>
  </si>
  <si>
    <t>2 | Prozessabgrenzung und Ist-Rahmen</t>
  </si>
  <si>
    <t>Start-Ereignis</t>
  </si>
  <si>
    <t>End-Ereignis</t>
  </si>
  <si>
    <t>Volumen / Frequenz</t>
  </si>
  <si>
    <t>Inputs / Kanäle</t>
  </si>
  <si>
    <t>Outputs</t>
  </si>
  <si>
    <t>Varianten / Ausnahmen</t>
  </si>
  <si>
    <t>Beteiligte Rollen</t>
  </si>
  <si>
    <t>Aktuelle Systeme</t>
  </si>
  <si>
    <t>Medienbrüche</t>
  </si>
  <si>
    <t>3 | Nutzenhypothese und Optimierungsfokus (noch ohne Bewertung)</t>
  </si>
  <si>
    <t>Erwarteter Nutzen</t>
  </si>
  <si>
    <t>Erfolg erkennbar an</t>
  </si>
  <si>
    <t>Größte Pain Points</t>
  </si>
  <si>
    <t>Optimierungsfokus</t>
  </si>
  <si>
    <t>4 | Technischer Rahmen und offene Leitplanken</t>
  </si>
  <si>
    <t>Betroffene Systeme</t>
  </si>
  <si>
    <t>Schnittstellen / Datenflüsse</t>
  </si>
  <si>
    <t>Betrieb / Support</t>
  </si>
  <si>
    <t>Berechtigung / Schutzbedarf</t>
  </si>
  <si>
    <t>Monitoring / Nachvollziehbarkeit</t>
  </si>
  <si>
    <t>Offene Leitplanken</t>
  </si>
  <si>
    <t>Hinweis: Detaillierte Wirtschaftlichkeit, KI-Eignung, Risiko, Compliance, Architektur und Priorisierung werden in der Bewertungsmatrix vertieft.</t>
  </si>
  <si>
    <t>PROZESSSKIZZE | SCHRITTE UND OPTIMIERUNGSPOTENZIALE</t>
  </si>
  <si>
    <t>Erfassung auf Überblicksebene. Ein Schritt entspricht einer fachlich sinnvollen Aktivität oder Übergabe, nicht jedem einzelnen Klick.</t>
  </si>
  <si>
    <t>5 | Prozessablauf</t>
  </si>
  <si>
    <t>Nr.</t>
  </si>
  <si>
    <t>Prozessschritt</t>
  </si>
  <si>
    <t>Rolle / System heute</t>
  </si>
  <si>
    <t>Input</t>
  </si>
  <si>
    <t>Output</t>
  </si>
  <si>
    <t>Pain Point / Ursache</t>
  </si>
  <si>
    <t>Optimierungspotenzial</t>
  </si>
  <si>
    <t>Menschliche Entscheidung?</t>
  </si>
  <si>
    <t>Hinweis / Abhängigkeit</t>
  </si>
  <si>
    <t>6 | Verdichtung der Optimierungspotenziale</t>
  </si>
  <si>
    <t>ID</t>
  </si>
  <si>
    <t>Adressierter Pain Point</t>
  </si>
  <si>
    <t>Erwarteter Effekt</t>
  </si>
  <si>
    <t>Kritikalität</t>
  </si>
  <si>
    <t>Voraussetzung / Abhängigkeit</t>
  </si>
  <si>
    <t>Offene Frage / nächster Prüfpunkt</t>
  </si>
  <si>
    <t>O-01</t>
  </si>
  <si>
    <t>O-02</t>
  </si>
  <si>
    <t>O-03</t>
  </si>
  <si>
    <t>O-04</t>
  </si>
  <si>
    <t>Nicht Bestandteil dieses PDD: Priorität, Aufwand, Wirtschaftlichkeit, Machbarkeitsscore, Risikowert und finale Lösungsentscheidung.</t>
  </si>
  <si>
    <t>01 Projektsteckbrief</t>
  </si>
  <si>
    <t>Kurzbeschreibung, Anlass, Zielbild und Entscheidungsbedarf</t>
  </si>
  <si>
    <t>Projektkern</t>
  </si>
  <si>
    <t>Projektanlass</t>
  </si>
  <si>
    <t>Strategischer Bezug</t>
  </si>
  <si>
    <t>Digitalisierung, Prozessqualität, Effizienz, Servicequalität, regulatorische Sicherheit</t>
  </si>
  <si>
    <t>Projektziel in einem Satz</t>
  </si>
  <si>
    <t>Nicht-Ziele / Abgrenzung</t>
  </si>
  <si>
    <t>Betroffene Zielgruppen</t>
  </si>
  <si>
    <t>Kunden, Vermittler, Mitarbeitende, Risikoträger, Service Center</t>
  </si>
  <si>
    <t>Automatisierung / KI-Unterstützung / KI-Agent / Prozessdigitalisierung</t>
  </si>
  <si>
    <t>Entscheidungsbedarf</t>
  </si>
  <si>
    <t>Budgetrahmen</t>
  </si>
  <si>
    <t>Geplanter Start</t>
  </si>
  <si>
    <t>Geplantes Ende</t>
  </si>
  <si>
    <t>Management Summary</t>
  </si>
  <si>
    <t>Bitte hier eine entscheidungsfähige Management Summary eintragen: Problem, Ziel, Lösung, Nutzen, Aufwand, Risiken und Entscheidungspunkt.</t>
  </si>
  <si>
    <t>03 Prozess</t>
  </si>
  <si>
    <t>Ist-Prozess, Zielprozess und Automatisierungspotenzial</t>
  </si>
  <si>
    <t>Prozessabgrenzung</t>
  </si>
  <si>
    <t>Prozessname</t>
  </si>
  <si>
    <t>Prozesseigner Fachbereich</t>
  </si>
  <si>
    <t>Eingangskanäle</t>
  </si>
  <si>
    <t>E-Mail, Portal, Telefon, Brief, BiPRO, sonstige</t>
  </si>
  <si>
    <t>Saisonale Spitzen / Ausnahmen</t>
  </si>
  <si>
    <t>Bekannte Medienbrüche</t>
  </si>
  <si>
    <t>Regel-/Entscheidungslogik vorhanden?</t>
  </si>
  <si>
    <t>Ja / Teilweise / Nein</t>
  </si>
  <si>
    <t>Dokumentationsstand</t>
  </si>
  <si>
    <t>Confluence / Prozesshandbuch / aktueller Stand offen</t>
  </si>
  <si>
    <t>Prozessschritte</t>
  </si>
  <si>
    <t>Pain Point</t>
  </si>
  <si>
    <t>Automatisierungsidee</t>
  </si>
  <si>
    <t>KI-Relevanz</t>
  </si>
  <si>
    <t>Muss menschlich entscheiden?</t>
  </si>
  <si>
    <t>Kommentar</t>
  </si>
  <si>
    <t>Niedrig / Mittel / Hoch</t>
  </si>
  <si>
    <t>Ja / Nein / Prüfen</t>
  </si>
  <si>
    <t>02 Business Case</t>
  </si>
  <si>
    <t>Nutzen, Aufwand, Effekte und Bewertungslogik</t>
  </si>
  <si>
    <t>Quantifizierbare Effekte</t>
  </si>
  <si>
    <t>Nutzenkategorie</t>
  </si>
  <si>
    <t>Beschreibung</t>
  </si>
  <si>
    <t>Baseline p.a.</t>
  </si>
  <si>
    <t>Zielwert p.a.</t>
  </si>
  <si>
    <t>Einheit</t>
  </si>
  <si>
    <t>Realisierung ab</t>
  </si>
  <si>
    <t>Wertbeitrag EUR p.a.</t>
  </si>
  <si>
    <t>Sicherheit der Schätzung</t>
  </si>
  <si>
    <t>Zeitersparnis</t>
  </si>
  <si>
    <t>Reduktion manueller Bearbeitungszeit</t>
  </si>
  <si>
    <t>Stunden</t>
  </si>
  <si>
    <t>Mittel</t>
  </si>
  <si>
    <t>Porto / Versand</t>
  </si>
  <si>
    <t>Digitalisierung von Brief-/Dokumentenprozessen</t>
  </si>
  <si>
    <t>EUR</t>
  </si>
  <si>
    <t>Durchlaufzeit</t>
  </si>
  <si>
    <t>Beschleunigung der End-to-End-Bearbeitung</t>
  </si>
  <si>
    <t>Tage</t>
  </si>
  <si>
    <t>Qualität</t>
  </si>
  <si>
    <t>Reduktion Fehler / Nacharbeit</t>
  </si>
  <si>
    <t>Anzahl</t>
  </si>
  <si>
    <t>Niedrig</t>
  </si>
  <si>
    <t>Service</t>
  </si>
  <si>
    <t>Verbesserung Erreichbarkeit / Antwortgeschwindigkeit</t>
  </si>
  <si>
    <t>SLA</t>
  </si>
  <si>
    <t>Skalierung</t>
  </si>
  <si>
    <t>Mehr Vorgänge ohne proportionalen Personalaufbau</t>
  </si>
  <si>
    <t>Vorgänge</t>
  </si>
  <si>
    <t>06 Architektur Betrieb</t>
  </si>
  <si>
    <t>Technischer Rahmen, Schnittstellen, Betriebsmodell und Verantwortungen</t>
  </si>
  <si>
    <t>Lösungsrahmen</t>
  </si>
  <si>
    <t>Zielarchitektur / Plattform</t>
  </si>
  <si>
    <t>OASIS, CRM, Dynamics 365, BiPRO, Confluence, Azure, weitere</t>
  </si>
  <si>
    <t>Schnittstellen / Adapter</t>
  </si>
  <si>
    <t>Datenflüsse</t>
  </si>
  <si>
    <t>Benötigte Oberflächen</t>
  </si>
  <si>
    <t>Betriebsmodell</t>
  </si>
  <si>
    <t>Fachbereich betreibt fachliche Regeln, IT betreibt Plattform und technische Rahmen</t>
  </si>
  <si>
    <t>Monitoring / Logging</t>
  </si>
  <si>
    <t>Berechtigungskonzept</t>
  </si>
  <si>
    <t>Release- und Versionsmanagement</t>
  </si>
  <si>
    <t>Supportmodell</t>
  </si>
  <si>
    <t>Fallback / Notbetrieb</t>
  </si>
  <si>
    <t>Schnittstellenübersicht</t>
  </si>
  <si>
    <t>System</t>
  </si>
  <si>
    <t>Richtung</t>
  </si>
  <si>
    <t>Daten / Funktion</t>
  </si>
  <si>
    <t>Verantwortlich</t>
  </si>
  <si>
    <t>Klärungsbedarf</t>
  </si>
  <si>
    <t>04 KI Use Case</t>
  </si>
  <si>
    <t>Fachliches Zielbild und KI-/Automatisierungsansatz</t>
  </si>
  <si>
    <t>Use-Case-Beschreibung</t>
  </si>
  <si>
    <t>Use-Case-Name</t>
  </si>
  <si>
    <t>Problem, das gelöst wird</t>
  </si>
  <si>
    <t>Warum KI und nicht nur klassische Automatisierung?</t>
  </si>
  <si>
    <t>KI-Aufgabe</t>
  </si>
  <si>
    <t>Klassifikation / Extraktion / Entscheidungsvorschlag / Kommunikation / Agentische Ausführung / Qualitätssicherung</t>
  </si>
  <si>
    <t>Erwartetes Ergebnis</t>
  </si>
  <si>
    <t>Human-in-the-loop erforderlich?</t>
  </si>
  <si>
    <t>Ja / Nein / Teilweise</t>
  </si>
  <si>
    <t>Entscheidungsautonomie der KI</t>
  </si>
  <si>
    <t>Keine / Empfehlung / Teilautomatisiert / Automatisiert mit Kontrollpunkten</t>
  </si>
  <si>
    <t>Fehlerfolgen für Kunde/Vermittler/DOMCURA</t>
  </si>
  <si>
    <t>Benötigte fachliche Regeln</t>
  </si>
  <si>
    <t>Prompt-/Regelpflege durch Fachbereich</t>
  </si>
  <si>
    <t>Ja / Nein / Offen</t>
  </si>
  <si>
    <t>Versionierung und 4-Augen-Prinzip vorgesehen?</t>
  </si>
  <si>
    <t>KI-Eignungsprüfung</t>
  </si>
  <si>
    <t>Kriterium</t>
  </si>
  <si>
    <t>Leitfrage</t>
  </si>
  <si>
    <t>Bewertung 1-5</t>
  </si>
  <si>
    <t>Gewichtung</t>
  </si>
  <si>
    <t>Score</t>
  </si>
  <si>
    <t>Regelbasiertheit</t>
  </si>
  <si>
    <t>Sind fachliche Regeln, Entscheidungen oder Annahmegrenzen beschreibbar?</t>
  </si>
  <si>
    <t>Datenverfügbarkeit</t>
  </si>
  <si>
    <t>Sind benötigte Daten strukturiert oder extrahierbar verfügbar?</t>
  </si>
  <si>
    <t>Volumen</t>
  </si>
  <si>
    <t>Gibt es ausreichend Fallzahlen oder Wiederholungen?</t>
  </si>
  <si>
    <t>Standardisierbarkeit</t>
  </si>
  <si>
    <t>Sind Varianten und Ausnahmen fachlich beherrschbar?</t>
  </si>
  <si>
    <t>Risikobegrenzung</t>
  </si>
  <si>
    <t>Sind Kontrollpunkte und Eskalationen definierbar?</t>
  </si>
  <si>
    <t>Nutzenpotenzial</t>
  </si>
  <si>
    <t>Ist der erwartete Nutzen relevant und messbar?</t>
  </si>
  <si>
    <t>Gesamtscore</t>
  </si>
  <si>
    <t>Interpretation</t>
  </si>
  <si>
    <t>05 Daten Compliance</t>
  </si>
  <si>
    <t>Daten, Datenschutz, EU-AI-Act, Informationssicherheit und Betriebsrisiken</t>
  </si>
  <si>
    <t>Datenbasis</t>
  </si>
  <si>
    <t>Datenobjekt / Quelle</t>
  </si>
  <si>
    <t>Art der Daten</t>
  </si>
  <si>
    <t>Personenbezug</t>
  </si>
  <si>
    <t>Besondere Kategorie?</t>
  </si>
  <si>
    <t>Quelle/System</t>
  </si>
  <si>
    <t>Nutzung im KI-Prozess</t>
  </si>
  <si>
    <t>Aufbewahrung/Löschung</t>
  </si>
  <si>
    <t>Rechts-/Prüfbedarf</t>
  </si>
  <si>
    <t>Ja / Nein</t>
  </si>
  <si>
    <t>Compliance-Check</t>
  </si>
  <si>
    <t>Prüffeld</t>
  </si>
  <si>
    <t>Nachweis / Link</t>
  </si>
  <si>
    <t>Datenschutz</t>
  </si>
  <si>
    <t>Sind Zwecke, Rechtsgrundlage, Datenminimierung und Betroffenenrechte geprüft?</t>
  </si>
  <si>
    <t>Offen</t>
  </si>
  <si>
    <t>Informationssicherheit</t>
  </si>
  <si>
    <t>Sind Zugriffe, Rollen, Protokollierung und Schutzbedarf definiert?</t>
  </si>
  <si>
    <t>EU-AI-Act</t>
  </si>
  <si>
    <t>Ist die KI-Risikoklasse bewertet und dokumentiert?</t>
  </si>
  <si>
    <t>Human-in-the-loop</t>
  </si>
  <si>
    <t>Sind Kontroll- und Eskalationspunkte definiert?</t>
  </si>
  <si>
    <t>Auditierbarkeit</t>
  </si>
  <si>
    <t>Sind Entscheidungen, Prompts, Regeln und Modellversionen nachvollziehbar?</t>
  </si>
  <si>
    <t>Betriebsrat / Mitbestimmung</t>
  </si>
  <si>
    <t>Sind mitbestimmungsrelevante Aspekte bewertet?</t>
  </si>
  <si>
    <t>Kundenkommunikation</t>
  </si>
  <si>
    <t>Ist Transparenz gegenüber Kunden/Vermittlern erforderlich?</t>
  </si>
  <si>
    <t>BCM / Fallback</t>
  </si>
  <si>
    <t>Gibt es einen manuellen Fallback bei Störung oder Fehlklassifikation?</t>
  </si>
  <si>
    <t>07 RACI Governance</t>
  </si>
  <si>
    <t>Rollen, Verantwortlichkeiten und Entscheidungswege</t>
  </si>
  <si>
    <t>RACI-Matrix</t>
  </si>
  <si>
    <t>Aufgabe / Entscheidung</t>
  </si>
  <si>
    <t>Fachbereich</t>
  </si>
  <si>
    <t>IT</t>
  </si>
  <si>
    <t>Datenschutz/Compliance</t>
  </si>
  <si>
    <t>Projektleitung</t>
  </si>
  <si>
    <t>Lenkungsausschuss</t>
  </si>
  <si>
    <t>Projektziel und fachlicher Scope</t>
  </si>
  <si>
    <t>A/R</t>
  </si>
  <si>
    <t>C</t>
  </si>
  <si>
    <t>R</t>
  </si>
  <si>
    <t>I</t>
  </si>
  <si>
    <t>Fachliche Prozessregeln / Prompts</t>
  </si>
  <si>
    <t>Technische Architektur</t>
  </si>
  <si>
    <t>Daten- und Zugriffskonzept</t>
  </si>
  <si>
    <t>A/C</t>
  </si>
  <si>
    <t>KI-Risikobewertung</t>
  </si>
  <si>
    <t>Abnahmekriterien</t>
  </si>
  <si>
    <t>Go-live Entscheidung</t>
  </si>
  <si>
    <t>A</t>
  </si>
  <si>
    <t>Betriebsübergabe</t>
  </si>
  <si>
    <t>Governance-Prinzipien</t>
  </si>
  <si>
    <t>Fachbereich verantwortet das Was: Prozessziel, Regeln, fachliche Logik, Akzeptanz und Nutzen.</t>
  </si>
  <si>
    <t>IT verantwortet das Wie: Plattform, technische Werkzeuge, Schnittstellen, Sicherheit und Betrieb.</t>
  </si>
  <si>
    <t>KI- und Automatisierungslogiken müssen versioniert, prüfbar, testbar und freigabefähig sein.</t>
  </si>
  <si>
    <t>Relevante Risiken, Kontrollpunkte und Eskalationen werden vor Umsetzung dokumentiert.</t>
  </si>
  <si>
    <t>08 Meilensteine</t>
  </si>
  <si>
    <t>Projektphasen, Lieferobjekte und Status</t>
  </si>
  <si>
    <t>Phase</t>
  </si>
  <si>
    <t>Meilenstein</t>
  </si>
  <si>
    <t>Lieferobjekt / Ergebnis</t>
  </si>
  <si>
    <t>Start</t>
  </si>
  <si>
    <t>Ende</t>
  </si>
  <si>
    <t>Abhängigkeiten</t>
  </si>
  <si>
    <t>Initiierung</t>
  </si>
  <si>
    <t>PDD freigegeben</t>
  </si>
  <si>
    <t>Freigegebenes Project Definition Document</t>
  </si>
  <si>
    <t>Analyse</t>
  </si>
  <si>
    <t>Ist-Prozess dokumentiert</t>
  </si>
  <si>
    <t>Dokumentierter Prozess inkl. Volumen, Varianten und Pain Points</t>
  </si>
  <si>
    <t>Zielprozess und KI-Use-Case definiert</t>
  </si>
  <si>
    <t>Abgestimmtes Zielbild inkl. Rollen und Kontrollpunkte</t>
  </si>
  <si>
    <t>Compliance</t>
  </si>
  <si>
    <t>Daten-/KI-/Sicherheitscheck abgeschlossen</t>
  </si>
  <si>
    <t>Freigaben oder Auflagen dokumentiert</t>
  </si>
  <si>
    <t>Design</t>
  </si>
  <si>
    <t>Technische Zielarchitektur bestätigt</t>
  </si>
  <si>
    <t>Schnittstellen, Datenflüsse, Betriebsmodell</t>
  </si>
  <si>
    <t>Umsetzung</t>
  </si>
  <si>
    <t>MVP umgesetzt</t>
  </si>
  <si>
    <t>Testfähige erste Version</t>
  </si>
  <si>
    <t>Test</t>
  </si>
  <si>
    <t>Fachliche und technische Abnahme</t>
  </si>
  <si>
    <t>Testfälle, Fehlerliste, Abnahmeprotokoll</t>
  </si>
  <si>
    <t>Go-live</t>
  </si>
  <si>
    <t>Produktivsetzung beschlossen</t>
  </si>
  <si>
    <t>Go-live Entscheidung und Betriebsübergabe</t>
  </si>
  <si>
    <t>Stabilisierung</t>
  </si>
  <si>
    <t>Nutzenmessung und Lessons Learned</t>
  </si>
  <si>
    <t>Review, KPI-Vergleich, Optimierungsbacklog</t>
  </si>
  <si>
    <t>09 Risiken Entscheidungen</t>
  </si>
  <si>
    <t>Risiko-, Annahmen-, Klärungs- und Entscheidungslog</t>
  </si>
  <si>
    <t>Risiken</t>
  </si>
  <si>
    <t>Risiko</t>
  </si>
  <si>
    <t>Ursache</t>
  </si>
  <si>
    <t>Auswirkung</t>
  </si>
  <si>
    <t>Eintritt 1-5</t>
  </si>
  <si>
    <t>Schaden 1-5</t>
  </si>
  <si>
    <t>Maßnahme</t>
  </si>
  <si>
    <t>Owner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</si>
  <si>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</si>
  <si>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</si>
  <si>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</si>
  <si>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</si>
  <si>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</si>
  <si>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</si>
  <si>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</si>
  <si>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</si>
  <si>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</si>
  <si>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</si>
  <si>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Entscheidungen und offene Punkte</t>
  </si>
  <si>
    <t>Kategorie</t>
  </si>
  <si>
    <t>Entscheidung / Klärung</t>
  </si>
  <si>
    <t>Optionen</t>
  </si>
  <si>
    <t>Empfehlung</t>
  </si>
  <si>
    <t>Entscheider</t>
  </si>
  <si>
    <t>Fällig bis</t>
  </si>
  <si>
    <t>E-01</t>
  </si>
  <si>
    <t>E-02</t>
  </si>
  <si>
    <t>E-03</t>
  </si>
  <si>
    <t>E-04</t>
  </si>
  <si>
    <t>E-05</t>
  </si>
  <si>
    <t>E-06</t>
  </si>
  <si>
    <t>E-07</t>
  </si>
  <si>
    <t>E-08</t>
  </si>
  <si>
    <t>10 Abnahme Tests</t>
  </si>
  <si>
    <t>Abnahmekriterien, Testfälle und Go-live-Voraussetzungen</t>
  </si>
  <si>
    <t>Muss/Soll</t>
  </si>
  <si>
    <t>Mess-/Nachweisart</t>
  </si>
  <si>
    <t>Zielwert</t>
  </si>
  <si>
    <t>Muss</t>
  </si>
  <si>
    <t>Testfälle</t>
  </si>
  <si>
    <t>Test-ID</t>
  </si>
  <si>
    <t>Prozessvariante</t>
  </si>
  <si>
    <t>Eingabe / Fall</t>
  </si>
  <si>
    <t>Tatsächliches Ergebnis</t>
  </si>
  <si>
    <t>Fehlerklasse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</si>
  <si>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</si>
  <si>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</si>
  <si>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</si>
  <si>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</si>
  <si>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</si>
  <si>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</si>
  <si>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</si>
  <si>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</si>
  <si>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</si>
  <si>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</si>
  <si>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11 Change Kommunikation</t>
  </si>
  <si>
    <t>Stakeholder, Schulung, Kommunikation und Betriebsübergabe</t>
  </si>
  <si>
    <t>Stakeholder und Kommunikation</t>
  </si>
  <si>
    <t>Stakeholdergruppe</t>
  </si>
  <si>
    <t>Betroffenheit</t>
  </si>
  <si>
    <t>Botschaft</t>
  </si>
  <si>
    <t>Format / Kanal</t>
  </si>
  <si>
    <t>Zeitpunkt</t>
  </si>
  <si>
    <t>Mitarbeitende Fachbereich</t>
  </si>
  <si>
    <t>Teamleitungen</t>
  </si>
  <si>
    <t>IT/Betrieb</t>
  </si>
  <si>
    <t>Kunden/Vermittler</t>
  </si>
  <si>
    <t>Risikoträger/Partner</t>
  </si>
  <si>
    <t>Schulung und Befähigung</t>
  </si>
  <si>
    <t>Zielgruppe</t>
  </si>
  <si>
    <t>Lernziel</t>
  </si>
  <si>
    <t>Material</t>
  </si>
  <si>
    <t>Format</t>
  </si>
  <si>
    <t>Pflicht?</t>
  </si>
  <si>
    <t>Termin</t>
  </si>
  <si>
    <t>Nachweis</t>
  </si>
  <si>
    <t>Workshop / Anleitung / E-Learning</t>
  </si>
  <si>
    <t>12 Entscheidungsvorlage</t>
  </si>
  <si>
    <t>Kurzvorlage für Lenkungskreis / eGL / Vorstand</t>
  </si>
  <si>
    <t>1. Entscheidungsvorschlag</t>
  </si>
  <si>
    <t>Welche Entscheidung soll getroffen werden?</t>
  </si>
  <si>
    <t>2. Ausgangslage</t>
  </si>
  <si>
    <t>Was ist das Problem und warum ist jetzt Handlungsbedarf?</t>
  </si>
  <si>
    <t>3. Lösung / Zielbild</t>
  </si>
  <si>
    <t>Was wird umgesetzt und wie sieht der Zielprozess aus?</t>
  </si>
  <si>
    <t>4. Nutzen</t>
  </si>
  <si>
    <t>Welche messbaren und nicht messbaren Effekte werden erwartet?</t>
  </si>
  <si>
    <t>5. Aufwand / Kosten</t>
  </si>
  <si>
    <t>Welche einmaligen und laufenden Aufwände entstehen?</t>
  </si>
  <si>
    <t>6. Risiken / Auflagen</t>
  </si>
  <si>
    <t>Welche wesentlichen Risiken, Compliance-Auflagen oder offenen Punkte bestehen?</t>
  </si>
  <si>
    <t>7. Empfehlung</t>
  </si>
  <si>
    <t>Warum ist die empfohlene Option vorzugswürdig?</t>
  </si>
  <si>
    <t>13 Glossar Quellen</t>
  </si>
  <si>
    <t>Begriffe, Annahmen und interne Referenzen</t>
  </si>
  <si>
    <t>Begriff</t>
  </si>
  <si>
    <t>Definition / Nutzung im PDD</t>
  </si>
  <si>
    <t>PDD</t>
  </si>
  <si>
    <t>Project Definition Document: strukturierte Projektdefinition als Grundlage für Entscheidung und Umsetzung.</t>
  </si>
  <si>
    <t>KI-Agent</t>
  </si>
  <si>
    <t>Systemkomponente, die fachliche Vorgaben interpretiert und Aufgaben automatisiert oder teilautomatisiert ausführt.</t>
  </si>
  <si>
    <t>Gezielte Einbindung eines Menschen an definierten Kontroll- oder Freigabepunkten.</t>
  </si>
  <si>
    <t>Verantwortlich für Prozessziel, fachliche Regeln, Priorisierung und fachliche Abnahme.</t>
  </si>
  <si>
    <t>Verantwortlich für Plattform, technische Architektur, Schnittstellen, Sicherheit, Betrieb und Skalierung.</t>
  </si>
  <si>
    <t>MVP</t>
  </si>
  <si>
    <t>Minimum Viable Product: erste test- und nutzenfähige Version.</t>
  </si>
  <si>
    <t>RACI</t>
  </si>
  <si>
    <t>R = Responsible, A = Accountable, C = Consulted, I = Informed.</t>
  </si>
  <si>
    <t>Interne Bezugspunkte für diese Vorlage</t>
  </si>
  <si>
    <t>Quelle / Bezugspunkt</t>
  </si>
  <si>
    <t>Für die Vorlage berücksichtigter Punkt</t>
  </si>
  <si>
    <t>Dashboard</t>
  </si>
  <si>
    <t>Übersicht: Reifegrad, Nutzen, Risiken, Entscheidungen</t>
  </si>
  <si>
    <t>Projekt-Dashboard</t>
  </si>
  <si>
    <t>KI-Eignungsscore</t>
  </si>
  <si>
    <t>KI-Eignung</t>
  </si>
  <si>
    <t>Gesamtnutzen p.a.</t>
  </si>
  <si>
    <t>Kosten einmalig</t>
  </si>
  <si>
    <t>Kosten laufend p.a.</t>
  </si>
  <si>
    <t>Nettoeffekt Jahr 1</t>
  </si>
  <si>
    <t>Offene Risiken</t>
  </si>
  <si>
    <t>Offene Entscheidungen</t>
  </si>
  <si>
    <t>Offene Compliance-Punkte</t>
  </si>
  <si>
    <t>Offene Meilensteine</t>
  </si>
  <si>
    <t>Ampelhinweise</t>
  </si>
  <si>
    <t>Grün</t>
  </si>
  <si>
    <t>PDD vollständig, Nutzen plausibel, Risiken beherrscht, Compliance geklärt.</t>
  </si>
  <si>
    <t>Gelb</t>
  </si>
  <si>
    <t>Einzelne Klärungen offen, jedoch keine kritische Umsetzungsblockade.</t>
  </si>
  <si>
    <t>Rot</t>
  </si>
  <si>
    <t>Kritische offene Entscheidung, hohes Risiko oder fehlende Compliance-/Datenklarheit.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</si>
</sst>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€;[Red]\(#,##0\ \€\);\-"/>
    <numFmt numFmtId="165" formatCode="0.0"/>
  </numFmts>
  <fonts count="1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i/>
      <sz val="9"/>
      <color rgb="FF666666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4472C4"/>
      <name val="Calibri"/>
      <family val="2"/>
    </font>
    <font>
      <i/>
      <sz val="9"/>
      <color rgb="FF9C5700"/>
      <name val="Calibri"/>
      <family val="2"/>
    </font>
    <font>
      <b/>
      <sz val="8"/>
      <color rgb="FFFFFFFF"/>
      <name val="Calibri"/>
      <family val="2"/>
    </font>
    <font>
      <b/>
      <sz val="11"/>
      <color rgb="FF666666"/>
      <name val="Calibri"/>
      <family val="2"/>
    </font>
    <font>
      <sz val="8"/>
      <color rgb="FF4472C4"/>
      <name val="Calibri"/>
      <family val="2"/>
    </font>
    <font>
      <b/>
      <sz val="8"/>
      <color rgb="FF666666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4472C4"/>
      </patternFill>
    </fill>
    <fill>
      <patternFill patternType="solid">
        <fgColor rgb="FF4472C4"/>
        <bgColor indexed="64"/>
      </patternFill>
    </fill>
    <fill>
      <patternFill patternType="solid">
        <fgColor rgb="FFEAF3F8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medium">
        <color rgb="FF17365D"/>
      </bottom>
      <diagonal/>
    </border>
    <border>
      <left/>
      <right/>
      <top style="medium">
        <color rgb="FF17365D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65" fontId="6" fillId="7" borderId="1" xfId="0" applyNumberFormat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164" fontId="6" fillId="7" borderId="1" xfId="0" applyNumberFormat="1" applyFont="1" applyFill="1" applyBorder="1" applyAlignment="1">
      <alignment vertical="top" wrapText="1"/>
    </xf>
    <xf numFmtId="164" fontId="6" fillId="8" borderId="1" xfId="0" applyNumberFormat="1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9" fillId="11" borderId="0" xfId="0" applyFont="1" applyFill="1" applyAlignment="1">
      <alignment vertical="center"/>
    </xf>
    <xf numFmtId="0" fontId="0" fillId="12" borderId="0" xfId="0" applyFill="1"/>
    <xf numFmtId="0" fontId="10" fillId="5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9" fillId="12" borderId="0" xfId="0" applyFont="1" applyFill="1" applyAlignment="1">
      <alignment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4" xfId="0" applyFont="1" applyBorder="1" applyAlignment="1">
      <alignment horizontal="center" vertical="top"/>
    </xf>
    <xf numFmtId="0" fontId="15" fillId="13" borderId="5" xfId="0" applyFont="1" applyFill="1" applyBorder="1" applyAlignment="1">
      <alignment vertical="top" wrapText="1"/>
    </xf>
    <xf numFmtId="0" fontId="14" fillId="0" borderId="0" xfId="0" applyFont="1" applyAlignment="1">
      <alignment horizontal="center" vertical="top"/>
    </xf>
    <xf numFmtId="0" fontId="13" fillId="2" borderId="6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center" vertical="top" wrapText="1"/>
    </xf>
    <xf numFmtId="0" fontId="15" fillId="13" borderId="5" xfId="0" applyFont="1" applyFill="1" applyBorder="1" applyAlignment="1">
      <alignment horizontal="left" vertical="top" wrapText="1"/>
    </xf>
    <xf numFmtId="0" fontId="15" fillId="13" borderId="5" xfId="0" applyFont="1" applyFill="1" applyBorder="1" applyAlignment="1">
      <alignment horizontal="left" vertical="top" wrapText="1"/>
    </xf>
    <xf numFmtId="0" fontId="12" fillId="9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/>
    </xf>
    <xf numFmtId="0" fontId="8" fillId="0" borderId="0" xfId="0" applyFont="1" applyAlignment="1">
      <alignment wrapText="1"/>
    </xf>
    <xf numFmtId="0" fontId="13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1" fillId="13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11" fillId="13" borderId="0" xfId="0" applyFont="1" applyFill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/>
    <xf numFmtId="0" fontId="0" fillId="0" borderId="5" xfId="0" applyBorder="1" applyAlignment="1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zess" displayName="tblProzess" ref="A20:J30">
  <autoFilter ref="A20:J30" xr:uid="{00000000-0009-0000-0100-000003000000}"/>
  <tableColumns count="10">
    <tableColumn id="1" xr3:uid="{00000000-0010-0000-0200-000001000000}" name="Nr."/>
    <tableColumn id="2" xr3:uid="{00000000-0010-0000-0200-000002000000}" name="Prozessschritt"/>
    <tableColumn id="3" xr3:uid="{00000000-0010-0000-0200-000003000000}" name="Rolle / System heute"/>
    <tableColumn id="4" xr3:uid="{00000000-0010-0000-0200-000004000000}" name="Input"/>
    <tableColumn id="5" xr3:uid="{00000000-0010-0000-0200-000005000000}" name="Output"/>
    <tableColumn id="6" xr3:uid="{00000000-0010-0000-0200-000006000000}" name="Pain Point"/>
    <tableColumn id="7" xr3:uid="{00000000-0010-0000-0200-000007000000}" name="Automatisierungsidee"/>
    <tableColumn id="8" xr3:uid="{00000000-0010-0000-0200-000008000000}" name="KI-Relevanz"/>
    <tableColumn id="9" xr3:uid="{00000000-0010-0000-0200-000009000000}" name="Muss menschlich entscheiden?"/>
    <tableColumn id="10" xr3:uid="{00000000-0010-0000-0200-00000A000000}" name="Komment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usinessCase" displayName="tblBusinessCase" ref="A6:I12">
  <autoFilter ref="A6:I12" xr:uid="{00000000-0009-0000-0100-000001000000}"/>
  <tableColumns count="9">
    <tableColumn id="1" xr3:uid="{00000000-0010-0000-0000-000001000000}" name="Nutzenkategorie"/>
    <tableColumn id="2" xr3:uid="{00000000-0010-0000-0000-000002000000}" name="Beschreibung"/>
    <tableColumn id="3" xr3:uid="{00000000-0010-0000-0000-000003000000}" name="Baseline p.a."/>
    <tableColumn id="4" xr3:uid="{00000000-0010-0000-0000-000004000000}" name="Zielwert p.a."/>
    <tableColumn id="5" xr3:uid="{00000000-0010-0000-0000-000005000000}" name="Einheit"/>
    <tableColumn id="6" xr3:uid="{00000000-0010-0000-0000-000006000000}" name="Realisierung ab"/>
    <tableColumn id="7" xr3:uid="{00000000-0010-0000-0000-000007000000}" name="Wertbeitrag EUR p.a."/>
    <tableColumn id="8" xr3:uid="{00000000-0010-0000-0000-000008000000}" name="Sicherheit der Schätzung"/>
    <tableColumn id="9" xr3:uid="{00000000-0010-0000-0000-000009000000}" name="Komment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chnittstellen" displayName="tblSchnittstellen" ref="A20:G28">
  <autoFilter ref="A20:G28" xr:uid="{00000000-0009-0000-0100-000007000000}"/>
  <tableColumns count="7">
    <tableColumn id="1" xr3:uid="{00000000-0010-0000-0600-000001000000}" name="System"/>
    <tableColumn id="2" xr3:uid="{00000000-0010-0000-0600-000002000000}" name="Richtung"/>
    <tableColumn id="3" xr3:uid="{00000000-0010-0000-0600-000003000000}" name="Daten / Funktion"/>
    <tableColumn id="4" xr3:uid="{00000000-0010-0000-0600-000004000000}" name="Kritikalität"/>
    <tableColumn id="5" xr3:uid="{00000000-0010-0000-0600-000005000000}" name="Verantwortlich"/>
    <tableColumn id="6" xr3:uid="{00000000-0010-0000-0600-000006000000}" name="Klärungsbedarf"/>
    <tableColumn id="7" xr3:uid="{00000000-0010-0000-0600-000007000000}" name="Komment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KIEignung" displayName="tblKIEignung" ref="A20:F26">
  <autoFilter ref="A20:F26" xr:uid="{00000000-0009-0000-0100-000004000000}"/>
  <tableColumns count="6">
    <tableColumn id="1" xr3:uid="{00000000-0010-0000-0300-000001000000}" name="Kriterium"/>
    <tableColumn id="2" xr3:uid="{00000000-0010-0000-0300-000002000000}" name="Leitfrage"/>
    <tableColumn id="3" xr3:uid="{00000000-0010-0000-0300-000003000000}" name="Bewertung 1-5"/>
    <tableColumn id="4" xr3:uid="{00000000-0010-0000-0300-000004000000}" name="Gewichtung"/>
    <tableColumn id="5" xr3:uid="{00000000-0010-0000-0300-000005000000}" name="Score"/>
    <tableColumn id="6" xr3:uid="{00000000-0010-0000-0300-000006000000}" name="Komment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aten" displayName="tblDaten" ref="A6:I14">
  <autoFilter ref="A6:I14" xr:uid="{00000000-0009-0000-0100-000005000000}"/>
  <tableColumns count="9">
    <tableColumn id="1" xr3:uid="{00000000-0010-0000-0400-000001000000}" name="Datenobjekt / Quelle"/>
    <tableColumn id="2" xr3:uid="{00000000-0010-0000-0400-000002000000}" name="Art der Daten"/>
    <tableColumn id="3" xr3:uid="{00000000-0010-0000-0400-000003000000}" name="Personenbezug"/>
    <tableColumn id="4" xr3:uid="{00000000-0010-0000-0400-000004000000}" name="Besondere Kategorie?"/>
    <tableColumn id="5" xr3:uid="{00000000-0010-0000-0400-000005000000}" name="Quelle/System"/>
    <tableColumn id="6" xr3:uid="{00000000-0010-0000-0400-000006000000}" name="Nutzung im KI-Prozess"/>
    <tableColumn id="7" xr3:uid="{00000000-0010-0000-0400-000007000000}" name="Aufbewahrung/Löschung"/>
    <tableColumn id="8" xr3:uid="{00000000-0010-0000-0400-000008000000}" name="Rechts-/Prüfbedarf"/>
    <tableColumn id="9" xr3:uid="{00000000-0010-0000-0400-000009000000}" name="Komment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ompliance" displayName="tblCompliance" ref="A19:F27">
  <autoFilter ref="A19:F27" xr:uid="{00000000-0009-0000-0100-000006000000}"/>
  <tableColumns count="6">
    <tableColumn id="1" xr3:uid="{00000000-0010-0000-0500-000001000000}" name="Prüffeld"/>
    <tableColumn id="2" xr3:uid="{00000000-0010-0000-0500-000002000000}" name="Leitfrage"/>
    <tableColumn id="3" xr3:uid="{00000000-0010-0000-0500-000003000000}" name="Status"/>
    <tableColumn id="4" xr3:uid="{00000000-0010-0000-0500-000004000000}" name="Verantwortlich"/>
    <tableColumn id="5" xr3:uid="{00000000-0010-0000-0500-000005000000}" name="Nachweis / Link"/>
    <tableColumn id="6" xr3:uid="{00000000-0010-0000-0500-000006000000}" name="Komment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ACI" displayName="tblRACI" ref="A6:H14">
  <autoFilter ref="A6:H14" xr:uid="{00000000-0009-0000-0100-000008000000}"/>
  <tableColumns count="8">
    <tableColumn id="1" xr3:uid="{00000000-0010-0000-0700-000001000000}" name="Aufgabe / Entscheidung"/>
    <tableColumn id="2" xr3:uid="{00000000-0010-0000-0700-000002000000}" name="Fachbereich"/>
    <tableColumn id="3" xr3:uid="{00000000-0010-0000-0700-000003000000}" name="IT"/>
    <tableColumn id="4" xr3:uid="{00000000-0010-0000-0700-000004000000}" name="Datenschutz/Compliance"/>
    <tableColumn id="5" xr3:uid="{00000000-0010-0000-0700-000005000000}" name="Informationssicherheit"/>
    <tableColumn id="6" xr3:uid="{00000000-0010-0000-0700-000006000000}" name="Projektleitung"/>
    <tableColumn id="7" xr3:uid="{00000000-0010-0000-0700-000007000000}" name="Lenkungsausschuss"/>
    <tableColumn id="8" xr3:uid="{00000000-0010-0000-0700-000008000000}" name="Komment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eilensteine" displayName="tblMeilensteine" ref="A4:I13">
  <autoFilter ref="A4:I13" xr:uid="{00000000-0009-0000-0100-000009000000}"/>
  <tableColumns count="9">
    <tableColumn id="1" xr3:uid="{00000000-0010-0000-0800-000001000000}" name="Phase"/>
    <tableColumn id="2" xr3:uid="{00000000-0010-0000-0800-000002000000}" name="Meilenstein"/>
    <tableColumn id="3" xr3:uid="{00000000-0010-0000-0800-000003000000}" name="Lieferobjekt / Ergebnis"/>
    <tableColumn id="4" xr3:uid="{00000000-0010-0000-0800-000004000000}" name="Verantwortlich"/>
    <tableColumn id="5" xr3:uid="{00000000-0010-0000-0800-000005000000}" name="Start"/>
    <tableColumn id="6" xr3:uid="{00000000-0010-0000-0800-000006000000}" name="Ende"/>
    <tableColumn id="7" xr3:uid="{00000000-0010-0000-0800-000007000000}" name="Status"/>
    <tableColumn id="8" xr3:uid="{00000000-0010-0000-0800-000008000000}" name="Abhängigkeiten"/>
    <tableColumn id="9" xr3:uid="{00000000-0010-0000-0800-000009000000}" name="Komment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Risiken" displayName="tblRisiken" ref="A6:J16">
  <autoFilter ref="A6:J16" xr:uid="{00000000-0009-0000-0100-00000A000000}"/>
  <tableColumns count="10">
    <tableColumn id="1" xr3:uid="{00000000-0010-0000-0900-000001000000}" name="ID"/>
    <tableColumn id="2" xr3:uid="{00000000-0010-0000-0900-000002000000}" name="Risiko"/>
    <tableColumn id="3" xr3:uid="{00000000-0010-0000-0900-000003000000}" name="Ursache"/>
    <tableColumn id="4" xr3:uid="{00000000-0010-0000-0900-000004000000}" name="Auswirkung"/>
    <tableColumn id="5" xr3:uid="{00000000-0010-0000-0900-000005000000}" name="Eintritt 1-5"/>
    <tableColumn id="6" xr3:uid="{00000000-0010-0000-0900-000006000000}" name="Schaden 1-5"/>
    <tableColumn id="7" xr3:uid="{00000000-0010-0000-0900-000007000000}" name="Score"/>
    <tableColumn id="8" xr3:uid="{00000000-0010-0000-0900-000008000000}" name="Maßnahme"/>
    <tableColumn id="9" xr3:uid="{00000000-0010-0000-0900-000009000000}" name="Owner"/>
    <tableColumn id="10" xr3:uid="{00000000-0010-0000-0900-00000A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Entscheidungen" displayName="tblEntscheidungen" ref="A21:I29">
  <autoFilter ref="A21:I29" xr:uid="{00000000-0009-0000-0100-00000B000000}"/>
  <tableColumns count="9">
    <tableColumn id="1" xr3:uid="{00000000-0010-0000-0A00-000001000000}" name="ID"/>
    <tableColumn id="2" xr3:uid="{00000000-0010-0000-0A00-000002000000}" name="Kategorie"/>
    <tableColumn id="3" xr3:uid="{00000000-0010-0000-0A00-000003000000}" name="Entscheidung / Klärung"/>
    <tableColumn id="4" xr3:uid="{00000000-0010-0000-0A00-000004000000}" name="Optionen"/>
    <tableColumn id="5" xr3:uid="{00000000-0010-0000-0A00-000005000000}" name="Empfehlung"/>
    <tableColumn id="6" xr3:uid="{00000000-0010-0000-0A00-000006000000}" name="Entscheider"/>
    <tableColumn id="7" xr3:uid="{00000000-0010-0000-0A00-000007000000}" name="Fällig bis"/>
    <tableColumn id="8" xr3:uid="{00000000-0010-0000-0A00-000008000000}" name="Status"/>
    <tableColumn id="9" xr3:uid="{00000000-0010-0000-0A00-000009000000}" name="Kommenta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Abnahme" displayName="tblAbnahme" ref="A6:H16">
  <autoFilter ref="A6:H16" xr:uid="{00000000-0009-0000-0100-00000C000000}"/>
  <tableColumns count="8">
    <tableColumn id="1" xr3:uid="{00000000-0010-0000-0B00-000001000000}" name="Nr."/>
    <tableColumn id="2" xr3:uid="{00000000-0010-0000-0B00-000002000000}" name="Kriterium"/>
    <tableColumn id="3" xr3:uid="{00000000-0010-0000-0B00-000003000000}" name="Muss/Soll"/>
    <tableColumn id="4" xr3:uid="{00000000-0010-0000-0B00-000004000000}" name="Mess-/Nachweisart"/>
    <tableColumn id="5" xr3:uid="{00000000-0010-0000-0B00-000005000000}" name="Zielwert"/>
    <tableColumn id="6" xr3:uid="{00000000-0010-0000-0B00-000006000000}" name="Verantwortlich"/>
    <tableColumn id="7" xr3:uid="{00000000-0010-0000-0B00-000007000000}" name="Status"/>
    <tableColumn id="8" xr3:uid="{00000000-0010-0000-0B00-000008000000}" name="Kommenta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Tests" displayName="tblTests" ref="A21:H31">
  <autoFilter ref="A21:H31" xr:uid="{00000000-0009-0000-0100-00000D000000}"/>
  <tableColumns count="8">
    <tableColumn id="1" xr3:uid="{00000000-0010-0000-0C00-000001000000}" name="Test-ID"/>
    <tableColumn id="2" xr3:uid="{00000000-0010-0000-0C00-000002000000}" name="Prozessvariante"/>
    <tableColumn id="3" xr3:uid="{00000000-0010-0000-0C00-000003000000}" name="Eingabe / Fall"/>
    <tableColumn id="4" xr3:uid="{00000000-0010-0000-0C00-000004000000}" name="Erwartetes Ergebnis"/>
    <tableColumn id="5" xr3:uid="{00000000-0010-0000-0C00-000005000000}" name="Tatsächliches Ergebnis"/>
    <tableColumn id="6" xr3:uid="{00000000-0010-0000-0C00-000006000000}" name="Fehlerklasse"/>
    <tableColumn id="7" xr3:uid="{00000000-0010-0000-0C00-000007000000}" name="Status"/>
    <tableColumn id="8" xr3:uid="{00000000-0010-0000-0C00-000008000000}" name="Kommenta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Kommunikation" displayName="tblKommunikation" ref="A6:H12">
  <autoFilter ref="A6:H12" xr:uid="{00000000-0009-0000-0100-00000E000000}"/>
  <tableColumns count="8">
    <tableColumn id="1" xr3:uid="{00000000-0010-0000-0D00-000001000000}" name="Stakeholdergruppe"/>
    <tableColumn id="2" xr3:uid="{00000000-0010-0000-0D00-000002000000}" name="Betroffenheit"/>
    <tableColumn id="3" xr3:uid="{00000000-0010-0000-0D00-000003000000}" name="Botschaft"/>
    <tableColumn id="4" xr3:uid="{00000000-0010-0000-0D00-000004000000}" name="Format / Kanal"/>
    <tableColumn id="5" xr3:uid="{00000000-0010-0000-0D00-000005000000}" name="Zeitpunkt"/>
    <tableColumn id="6" xr3:uid="{00000000-0010-0000-0D00-000006000000}" name="Verantwortlich"/>
    <tableColumn id="7" xr3:uid="{00000000-0010-0000-0D00-000007000000}" name="Status"/>
    <tableColumn id="8" xr3:uid="{00000000-0010-0000-0D00-000008000000}" name="Kommenta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Schulung" displayName="tblSchulung" ref="A17:H23">
  <autoFilter ref="A17:H23" xr:uid="{00000000-0009-0000-0100-00000F000000}"/>
  <tableColumns count="8">
    <tableColumn id="1" xr3:uid="{00000000-0010-0000-0E00-000001000000}" name="Zielgruppe"/>
    <tableColumn id="2" xr3:uid="{00000000-0010-0000-0E00-000002000000}" name="Lernziel"/>
    <tableColumn id="3" xr3:uid="{00000000-0010-0000-0E00-000003000000}" name="Material"/>
    <tableColumn id="4" xr3:uid="{00000000-0010-0000-0E00-000004000000}" name="Format"/>
    <tableColumn id="5" xr3:uid="{00000000-0010-0000-0E00-000005000000}" name="Pflicht?"/>
    <tableColumn id="6" xr3:uid="{00000000-0010-0000-0E00-000006000000}" name="Termin"/>
    <tableColumn id="7" xr3:uid="{00000000-0010-0000-0E00-000007000000}" name="Nachweis"/>
    <tableColumn id="8" xr3:uid="{00000000-0010-0000-0E00-000008000000}" name="Kommenta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Glossar" displayName="tblGlossar" ref="A4:B11">
  <autoFilter ref="A4:B11" xr:uid="{00000000-0009-0000-0100-000010000000}"/>
  <tableColumns count="2">
    <tableColumn id="1" xr3:uid="{00000000-0010-0000-0F00-000001000000}" name="Begriff"/>
    <tableColumn id="2" xr3:uid="{00000000-0010-0000-0F00-000002000000}" name="Definition / Nutzung im PD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Quellen" displayName="tblQuellen" ref="A16:B20">
  <autoFilter ref="A16:B20" xr:uid="{00000000-0009-0000-0100-000011000000}"/>
  <tableColumns count="2">
    <tableColumn id="1" xr3:uid="{00000000-0010-0000-1000-000001000000}" name="Quelle / Bezugspunkt"/>
    <tableColumn id="2" xr3:uid="{00000000-0010-0000-1000-000002000000}" name="Für die Vorlage berücksichtigter Punk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showGridLines="0" workbookViewId="0">
      <pane ySplit="3" topLeftCell="A4" activePane="bottomLeft" state="frozen"/>
      <selection pane="bottomLeft" activeCell="C11" sqref="C11"/>
    </sheetView>
  </sheetViews>
  <sheetFormatPr defaultColWidth="9.140625" defaultRowHeight="14.45"/>
  <cols>
    <col min="1" max="1" width="24" customWidth="1"/>
    <col min="2" max="2" width="28" customWidth="1"/>
    <col min="3" max="5" width="26" customWidth="1"/>
    <col min="6" max="8" width="22" customWidth="1"/>
  </cols>
  <sheetData>
    <row r="1" spans="1:8" ht="32.1" customHeight="1">
      <c r="A1" s="38" t="s">
        <v>0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1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2</v>
      </c>
      <c r="B4" s="34"/>
      <c r="C4" s="34"/>
      <c r="D4" s="34"/>
      <c r="E4" s="34"/>
      <c r="F4" s="34"/>
      <c r="G4" s="34"/>
      <c r="H4" s="34"/>
    </row>
    <row r="5" spans="1:8">
      <c r="A5" s="3" t="s">
        <v>3</v>
      </c>
      <c r="B5" s="4"/>
      <c r="C5" s="1"/>
      <c r="D5" s="1"/>
      <c r="E5" s="1"/>
      <c r="F5" s="1"/>
      <c r="G5" s="1"/>
      <c r="H5" s="1"/>
    </row>
    <row r="6" spans="1:8">
      <c r="A6" s="3" t="s">
        <v>4</v>
      </c>
      <c r="B6" s="4"/>
      <c r="C6" s="1"/>
      <c r="D6" s="1"/>
      <c r="E6" s="1"/>
      <c r="F6" s="1"/>
      <c r="G6" s="1"/>
      <c r="H6" s="1"/>
    </row>
    <row r="7" spans="1:8">
      <c r="A7" s="3" t="s">
        <v>5</v>
      </c>
      <c r="B7" s="4"/>
      <c r="C7" s="1"/>
      <c r="D7" s="1"/>
      <c r="E7" s="1"/>
      <c r="F7" s="1"/>
      <c r="G7" s="1"/>
      <c r="H7" s="1"/>
    </row>
    <row r="8" spans="1:8">
      <c r="A8" s="3" t="s">
        <v>6</v>
      </c>
      <c r="B8" s="4"/>
      <c r="C8" s="1"/>
      <c r="D8" s="1"/>
      <c r="E8" s="1"/>
      <c r="F8" s="1"/>
      <c r="G8" s="1"/>
      <c r="H8" s="1"/>
    </row>
    <row r="9" spans="1:8">
      <c r="A9" s="3" t="s">
        <v>7</v>
      </c>
      <c r="B9" s="4"/>
      <c r="C9" s="1"/>
      <c r="D9" s="1"/>
      <c r="E9" s="1"/>
      <c r="F9" s="1"/>
      <c r="G9" s="1"/>
      <c r="H9" s="1"/>
    </row>
    <row r="10" spans="1:8">
      <c r="A10" s="3" t="s">
        <v>8</v>
      </c>
      <c r="B10" s="4"/>
      <c r="C10" s="1"/>
      <c r="D10" s="1"/>
      <c r="E10" s="1"/>
      <c r="F10" s="1"/>
      <c r="G10" s="1"/>
      <c r="H10" s="1"/>
    </row>
    <row r="11" spans="1:8" ht="28.9">
      <c r="A11" s="3" t="s">
        <v>9</v>
      </c>
      <c r="B11" s="4"/>
      <c r="C11" s="1"/>
      <c r="D11" s="1"/>
      <c r="E11" s="1"/>
      <c r="F11" s="1"/>
      <c r="G11" s="1"/>
      <c r="H11" s="1"/>
    </row>
    <row r="12" spans="1:8">
      <c r="A12" s="3" t="s">
        <v>10</v>
      </c>
      <c r="B12" s="4"/>
      <c r="C12" s="1"/>
      <c r="D12" s="1"/>
      <c r="E12" s="1"/>
      <c r="F12" s="1"/>
      <c r="G12" s="1"/>
      <c r="H12" s="1"/>
    </row>
    <row r="13" spans="1:8">
      <c r="A13" s="3" t="s">
        <v>11</v>
      </c>
      <c r="B13" s="4"/>
      <c r="C13" s="1"/>
      <c r="D13" s="1"/>
      <c r="E13" s="1"/>
      <c r="F13" s="1"/>
      <c r="G13" s="1"/>
      <c r="H13" s="1"/>
    </row>
    <row r="14" spans="1:8" ht="28.9">
      <c r="A14" s="3" t="s">
        <v>12</v>
      </c>
      <c r="B14" s="4"/>
      <c r="C14" s="1"/>
      <c r="D14" s="1"/>
      <c r="E14" s="1"/>
      <c r="F14" s="1"/>
      <c r="G14" s="1"/>
      <c r="H14" s="1"/>
    </row>
    <row r="15" spans="1:8">
      <c r="A15" s="3" t="s">
        <v>13</v>
      </c>
      <c r="B15" s="4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1.95" customHeight="1">
      <c r="A18" s="35" t="s">
        <v>14</v>
      </c>
      <c r="B18" s="34"/>
      <c r="C18" s="34"/>
      <c r="D18" s="34"/>
      <c r="E18" s="34"/>
      <c r="F18" s="34"/>
      <c r="G18" s="34"/>
      <c r="H18" s="34"/>
    </row>
    <row r="19" spans="1:8">
      <c r="A19" s="37" t="s">
        <v>15</v>
      </c>
      <c r="B19" s="34"/>
      <c r="C19" s="34"/>
      <c r="D19" s="34"/>
      <c r="E19" s="34"/>
      <c r="F19" s="34"/>
      <c r="G19" s="34"/>
      <c r="H19" s="34"/>
    </row>
    <row r="20" spans="1:8">
      <c r="A20" s="34"/>
      <c r="B20" s="34"/>
      <c r="C20" s="34"/>
      <c r="D20" s="34"/>
      <c r="E20" s="34"/>
      <c r="F20" s="34"/>
      <c r="G20" s="34"/>
      <c r="H20" s="34"/>
    </row>
    <row r="21" spans="1:8">
      <c r="A21" s="34"/>
      <c r="B21" s="34"/>
      <c r="C21" s="34"/>
      <c r="D21" s="34"/>
      <c r="E21" s="34"/>
      <c r="F21" s="34"/>
      <c r="G21" s="34"/>
      <c r="H21" s="34"/>
    </row>
    <row r="22" spans="1:8">
      <c r="A22" s="34"/>
      <c r="B22" s="34"/>
      <c r="C22" s="34"/>
      <c r="D22" s="34"/>
      <c r="E22" s="34"/>
      <c r="F22" s="34"/>
      <c r="G22" s="34"/>
      <c r="H22" s="34"/>
    </row>
    <row r="23" spans="1:8">
      <c r="A23" s="34"/>
      <c r="B23" s="34"/>
      <c r="C23" s="34"/>
      <c r="D23" s="34"/>
      <c r="E23" s="34"/>
      <c r="F23" s="34"/>
      <c r="G23" s="34"/>
      <c r="H23" s="34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 ht="21.95" customHeight="1">
      <c r="A25" s="35" t="s">
        <v>16</v>
      </c>
      <c r="B25" s="34"/>
      <c r="C25" s="34"/>
      <c r="D25" s="34"/>
      <c r="E25" s="34"/>
      <c r="F25" s="34"/>
      <c r="G25" s="34"/>
      <c r="H25" s="34"/>
    </row>
    <row r="26" spans="1:8">
      <c r="A26" s="33" t="s">
        <v>17</v>
      </c>
      <c r="B26" s="34"/>
      <c r="C26" s="34"/>
      <c r="D26" s="34"/>
      <c r="E26" s="34"/>
      <c r="F26" s="34"/>
      <c r="G26" s="34"/>
      <c r="H26" s="34"/>
    </row>
    <row r="27" spans="1:8">
      <c r="A27" s="33" t="s">
        <v>18</v>
      </c>
      <c r="B27" s="34"/>
      <c r="C27" s="34"/>
      <c r="D27" s="34"/>
      <c r="E27" s="34"/>
      <c r="F27" s="34"/>
      <c r="G27" s="34"/>
      <c r="H27" s="34"/>
    </row>
    <row r="28" spans="1:8">
      <c r="A28" s="33" t="s">
        <v>19</v>
      </c>
      <c r="B28" s="34"/>
      <c r="C28" s="34"/>
      <c r="D28" s="34"/>
      <c r="E28" s="34"/>
      <c r="F28" s="34"/>
      <c r="G28" s="34"/>
      <c r="H28" s="34"/>
    </row>
    <row r="29" spans="1:8">
      <c r="A29" s="33" t="s">
        <v>20</v>
      </c>
      <c r="B29" s="34"/>
      <c r="C29" s="34"/>
      <c r="D29" s="34"/>
      <c r="E29" s="34"/>
      <c r="F29" s="34"/>
      <c r="G29" s="34"/>
      <c r="H29" s="34"/>
    </row>
  </sheetData>
  <mergeCells count="10">
    <mergeCell ref="A1:H1"/>
    <mergeCell ref="A27:H27"/>
    <mergeCell ref="A18:H18"/>
    <mergeCell ref="A4:H4"/>
    <mergeCell ref="A26:H26"/>
    <mergeCell ref="A29:H29"/>
    <mergeCell ref="A25:H25"/>
    <mergeCell ref="A2:H2"/>
    <mergeCell ref="A19:H23"/>
    <mergeCell ref="A28:H28"/>
  </mergeCell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6002-41D7-4A0E-86DE-06E261772563}">
  <sheetPr>
    <pageSetUpPr fitToPage="1"/>
  </sheetPr>
  <dimension ref="A1:L24"/>
  <sheetViews>
    <sheetView showGridLines="0" workbookViewId="0">
      <pane ySplit="4" topLeftCell="A5" activePane="bottomLeft" state="frozen"/>
      <selection pane="bottomLeft" activeCell="B6" sqref="B6:D6"/>
      <selection activeCell="A24" sqref="A24:L24"/>
    </sheetView>
  </sheetViews>
  <sheetFormatPr defaultColWidth="8.85546875" defaultRowHeight="14.45"/>
  <cols>
    <col min="1" max="1" width="21" customWidth="1"/>
    <col min="2" max="2" width="16" customWidth="1"/>
    <col min="3" max="4" width="18" customWidth="1"/>
    <col min="5" max="5" width="4" customWidth="1"/>
    <col min="6" max="6" width="16" customWidth="1"/>
    <col min="7" max="8" width="18" customWidth="1"/>
    <col min="9" max="9" width="4" customWidth="1"/>
    <col min="10" max="10" width="16" customWidth="1"/>
    <col min="11" max="12" width="18" customWidth="1"/>
  </cols>
  <sheetData>
    <row r="1" spans="1:12" ht="24" customHeight="1">
      <c r="A1" s="29" t="s">
        <v>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0.1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24" customHeight="1">
      <c r="A3" s="30" t="s">
        <v>22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5" spans="1:12" ht="19.899999999999999" customHeight="1">
      <c r="A5" s="14" t="s">
        <v>23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19.899999999999999" customHeight="1">
      <c r="A6" s="16" t="s">
        <v>24</v>
      </c>
      <c r="B6" s="41"/>
      <c r="C6" s="41"/>
      <c r="D6" s="41"/>
      <c r="E6" s="17"/>
      <c r="F6" s="16" t="s">
        <v>25</v>
      </c>
      <c r="G6" s="39"/>
      <c r="H6" s="40"/>
      <c r="I6" s="17"/>
      <c r="J6" s="16" t="s">
        <v>26</v>
      </c>
      <c r="K6" s="39"/>
      <c r="L6" s="40"/>
    </row>
    <row r="7" spans="1:12" ht="40.15" customHeight="1">
      <c r="A7" s="16" t="s">
        <v>27</v>
      </c>
      <c r="B7" s="39"/>
      <c r="C7" s="40"/>
      <c r="D7" s="40"/>
      <c r="E7" s="40"/>
      <c r="F7" s="40"/>
      <c r="G7" s="40"/>
      <c r="H7" s="40"/>
      <c r="I7" s="17"/>
      <c r="J7" s="16" t="s">
        <v>28</v>
      </c>
      <c r="K7" s="39"/>
      <c r="L7" s="40"/>
    </row>
    <row r="8" spans="1:12" ht="40.15" customHeight="1">
      <c r="A8" s="16" t="s">
        <v>29</v>
      </c>
      <c r="B8" s="39"/>
      <c r="C8" s="40"/>
      <c r="D8" s="40"/>
      <c r="E8" s="40"/>
      <c r="F8" s="40"/>
      <c r="G8" s="40"/>
      <c r="H8" s="40"/>
      <c r="I8" s="17"/>
      <c r="J8" s="16" t="s">
        <v>30</v>
      </c>
      <c r="K8" s="39"/>
      <c r="L8" s="40"/>
    </row>
    <row r="9" spans="1:12" ht="40.15" customHeight="1">
      <c r="A9" s="16" t="s">
        <v>31</v>
      </c>
      <c r="B9" s="39"/>
      <c r="C9" s="40"/>
      <c r="D9" s="40"/>
      <c r="E9" s="40"/>
      <c r="F9" s="40"/>
      <c r="G9" s="40"/>
      <c r="H9" s="40"/>
      <c r="I9" s="17"/>
      <c r="J9" s="16" t="s">
        <v>32</v>
      </c>
      <c r="K9" s="39"/>
      <c r="L9" s="40"/>
    </row>
    <row r="11" spans="1:12" ht="19.899999999999999" customHeight="1">
      <c r="A11" s="14" t="s">
        <v>33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ht="19.899999999999999" customHeight="1">
      <c r="A12" s="16" t="s">
        <v>34</v>
      </c>
      <c r="B12" s="39"/>
      <c r="C12" s="44"/>
      <c r="D12" s="44"/>
      <c r="F12" s="16" t="s">
        <v>35</v>
      </c>
      <c r="G12" s="39"/>
      <c r="H12" s="44"/>
      <c r="J12" s="16" t="s">
        <v>36</v>
      </c>
      <c r="K12" s="39"/>
      <c r="L12" s="44"/>
    </row>
    <row r="13" spans="1:12" ht="40.15" customHeight="1">
      <c r="A13" s="16" t="s">
        <v>37</v>
      </c>
      <c r="B13" s="39"/>
      <c r="C13" s="44"/>
      <c r="D13" s="44"/>
      <c r="F13" s="16" t="s">
        <v>38</v>
      </c>
      <c r="G13" s="39"/>
      <c r="H13" s="44"/>
      <c r="J13" s="16" t="s">
        <v>39</v>
      </c>
      <c r="K13" s="39"/>
      <c r="L13" s="44"/>
    </row>
    <row r="14" spans="1:12" ht="40.15" customHeight="1">
      <c r="A14" s="16" t="s">
        <v>40</v>
      </c>
      <c r="B14" s="39"/>
      <c r="C14" s="44"/>
      <c r="D14" s="44"/>
      <c r="F14" s="16" t="s">
        <v>41</v>
      </c>
      <c r="G14" s="39"/>
      <c r="H14" s="44"/>
      <c r="J14" s="16" t="s">
        <v>42</v>
      </c>
      <c r="K14" s="39"/>
      <c r="L14" s="44"/>
    </row>
    <row r="16" spans="1:12" ht="19.899999999999999" customHeight="1">
      <c r="A16" s="18" t="s">
        <v>43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40.15" customHeight="1">
      <c r="A17" s="16" t="s">
        <v>44</v>
      </c>
      <c r="B17" s="39"/>
      <c r="C17" s="44"/>
      <c r="D17" s="44"/>
      <c r="E17" s="44"/>
      <c r="F17" s="44"/>
      <c r="G17" s="44"/>
      <c r="H17" s="44"/>
      <c r="J17" s="16" t="s">
        <v>45</v>
      </c>
      <c r="K17" s="39"/>
      <c r="L17" s="44"/>
    </row>
    <row r="18" spans="1:12" ht="40.15" customHeight="1">
      <c r="A18" s="16" t="s">
        <v>46</v>
      </c>
      <c r="B18" s="39"/>
      <c r="C18" s="44"/>
      <c r="D18" s="44"/>
      <c r="E18" s="44"/>
      <c r="F18" s="44"/>
      <c r="G18" s="44"/>
      <c r="H18" s="44"/>
      <c r="J18" s="16" t="s">
        <v>47</v>
      </c>
      <c r="K18" s="39"/>
      <c r="L18" s="44"/>
    </row>
    <row r="20" spans="1:12" ht="19.899999999999999" customHeight="1">
      <c r="A20" s="18" t="s">
        <v>48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40.15" customHeight="1">
      <c r="A21" s="16" t="s">
        <v>49</v>
      </c>
      <c r="B21" s="39"/>
      <c r="C21" s="44"/>
      <c r="D21" s="44"/>
      <c r="F21" s="16" t="s">
        <v>50</v>
      </c>
      <c r="G21" s="39"/>
      <c r="H21" s="44"/>
      <c r="J21" s="16" t="s">
        <v>51</v>
      </c>
      <c r="K21" s="39"/>
      <c r="L21" s="44"/>
    </row>
    <row r="22" spans="1:12" ht="40.15" customHeight="1">
      <c r="A22" s="16" t="s">
        <v>52</v>
      </c>
      <c r="B22" s="39"/>
      <c r="C22" s="44"/>
      <c r="D22" s="44"/>
      <c r="F22" s="16" t="s">
        <v>53</v>
      </c>
      <c r="G22" s="39"/>
      <c r="H22" s="44"/>
      <c r="J22" s="16" t="s">
        <v>54</v>
      </c>
      <c r="K22" s="39"/>
      <c r="L22" s="44"/>
    </row>
    <row r="24" spans="1:12" ht="28.15" customHeight="1">
      <c r="A24" s="28" t="s">
        <v>55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</sheetData>
  <mergeCells count="31">
    <mergeCell ref="B7:H7"/>
    <mergeCell ref="K7:L7"/>
    <mergeCell ref="A1:L2"/>
    <mergeCell ref="A3:L3"/>
    <mergeCell ref="B6:D6"/>
    <mergeCell ref="G6:H6"/>
    <mergeCell ref="K6:L6"/>
    <mergeCell ref="B8:H8"/>
    <mergeCell ref="K8:L8"/>
    <mergeCell ref="B9:H9"/>
    <mergeCell ref="K9:L9"/>
    <mergeCell ref="B12:D12"/>
    <mergeCell ref="G12:H12"/>
    <mergeCell ref="K12:L12"/>
    <mergeCell ref="B13:D13"/>
    <mergeCell ref="G13:H13"/>
    <mergeCell ref="K13:L13"/>
    <mergeCell ref="B14:D14"/>
    <mergeCell ref="G14:H14"/>
    <mergeCell ref="K14:L14"/>
    <mergeCell ref="B22:D22"/>
    <mergeCell ref="G22:H22"/>
    <mergeCell ref="K22:L22"/>
    <mergeCell ref="A24:L24"/>
    <mergeCell ref="B17:H17"/>
    <mergeCell ref="K17:L17"/>
    <mergeCell ref="B18:H18"/>
    <mergeCell ref="K18:L18"/>
    <mergeCell ref="B21:D21"/>
    <mergeCell ref="G21:H21"/>
    <mergeCell ref="K21:L21"/>
  </mergeCells>
  <pageMargins left="0.25" right="0.25" top="0.35" bottom="0.35" header="0.15" footer="0.15"/>
  <pageSetup paperSize="9" orientation="landscape"/>
  <headerFooter>
    <oddFooter>&amp;C&amp;8 &amp;K666666Kompaktes Process Definition Document |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505B-3540-45A1-B386-0622CBBFA6E1}">
  <sheetPr>
    <pageSetUpPr fitToPage="1"/>
  </sheetPr>
  <dimension ref="A1:I23"/>
  <sheetViews>
    <sheetView showGridLines="0" tabSelected="1" workbookViewId="0">
      <pane ySplit="4" topLeftCell="A5" activePane="bottomLeft" state="frozen"/>
      <selection pane="bottomLeft" activeCell="F18" sqref="F18"/>
      <selection activeCell="A24" sqref="A24:L24"/>
    </sheetView>
  </sheetViews>
  <sheetFormatPr defaultColWidth="8.85546875" defaultRowHeight="14.45"/>
  <cols>
    <col min="1" max="1" width="5" customWidth="1"/>
    <col min="2" max="9" width="21.7109375" customWidth="1"/>
  </cols>
  <sheetData>
    <row r="1" spans="1:9">
      <c r="A1" s="29" t="s">
        <v>56</v>
      </c>
      <c r="B1" s="44"/>
      <c r="C1" s="44"/>
      <c r="D1" s="44"/>
      <c r="E1" s="44"/>
      <c r="F1" s="44"/>
      <c r="G1" s="44"/>
      <c r="H1" s="44"/>
      <c r="I1" s="44"/>
    </row>
    <row r="2" spans="1:9">
      <c r="A2" s="44"/>
      <c r="B2" s="44"/>
      <c r="C2" s="44"/>
      <c r="D2" s="44"/>
      <c r="E2" s="44"/>
      <c r="F2" s="44"/>
      <c r="G2" s="44"/>
      <c r="H2" s="44"/>
      <c r="I2" s="44"/>
    </row>
    <row r="3" spans="1:9" ht="22.15" customHeight="1">
      <c r="A3" s="30" t="s">
        <v>57</v>
      </c>
      <c r="B3" s="44"/>
      <c r="C3" s="44"/>
      <c r="D3" s="44"/>
      <c r="E3" s="44"/>
      <c r="F3" s="44"/>
      <c r="G3" s="44"/>
      <c r="H3" s="44"/>
      <c r="I3" s="44"/>
    </row>
    <row r="5" spans="1:9" ht="19.899999999999999" customHeight="1">
      <c r="A5" s="18" t="s">
        <v>58</v>
      </c>
      <c r="B5" s="15"/>
      <c r="C5" s="15"/>
      <c r="D5" s="15"/>
      <c r="E5" s="15"/>
      <c r="F5" s="15"/>
      <c r="G5" s="15"/>
      <c r="H5" s="15"/>
      <c r="I5" s="15"/>
    </row>
    <row r="6" spans="1:9" ht="31.9" customHeight="1" thickBot="1">
      <c r="A6" s="19" t="s">
        <v>59</v>
      </c>
      <c r="B6" s="20" t="s">
        <v>60</v>
      </c>
      <c r="C6" s="20" t="s">
        <v>61</v>
      </c>
      <c r="D6" s="20" t="s">
        <v>62</v>
      </c>
      <c r="E6" s="20" t="s">
        <v>63</v>
      </c>
      <c r="F6" s="20" t="s">
        <v>64</v>
      </c>
      <c r="G6" s="20" t="s">
        <v>65</v>
      </c>
      <c r="H6" s="20" t="s">
        <v>66</v>
      </c>
      <c r="I6" s="20" t="s">
        <v>67</v>
      </c>
    </row>
    <row r="7" spans="1:9" ht="39" customHeight="1">
      <c r="A7" s="21"/>
      <c r="B7" s="22"/>
      <c r="C7" s="22"/>
      <c r="D7" s="22"/>
      <c r="E7" s="22"/>
      <c r="F7" s="22"/>
      <c r="G7" s="22"/>
      <c r="H7" s="22"/>
      <c r="I7" s="22"/>
    </row>
    <row r="8" spans="1:9" ht="39" customHeight="1">
      <c r="A8" s="23"/>
      <c r="B8" s="22"/>
      <c r="C8" s="22"/>
      <c r="D8" s="22"/>
      <c r="E8" s="22"/>
      <c r="F8" s="22"/>
      <c r="G8" s="22"/>
      <c r="H8" s="22"/>
      <c r="I8" s="22"/>
    </row>
    <row r="9" spans="1:9" ht="39" customHeight="1">
      <c r="A9" s="23"/>
      <c r="B9" s="22"/>
      <c r="C9" s="22"/>
      <c r="D9" s="22"/>
      <c r="E9" s="22"/>
      <c r="F9" s="22"/>
      <c r="G9" s="22"/>
      <c r="H9" s="22"/>
      <c r="I9" s="22"/>
    </row>
    <row r="10" spans="1:9" ht="39" customHeight="1">
      <c r="A10" s="23"/>
      <c r="B10" s="22"/>
      <c r="C10" s="22"/>
      <c r="D10" s="22"/>
      <c r="E10" s="22"/>
      <c r="F10" s="22"/>
      <c r="G10" s="22"/>
      <c r="H10" s="22"/>
      <c r="I10" s="22"/>
    </row>
    <row r="11" spans="1:9" ht="39" customHeight="1">
      <c r="A11" s="23"/>
      <c r="B11" s="22"/>
      <c r="C11" s="22"/>
      <c r="D11" s="22"/>
      <c r="E11" s="22"/>
      <c r="F11" s="22"/>
      <c r="G11" s="22"/>
      <c r="H11" s="22"/>
      <c r="I11" s="22"/>
    </row>
    <row r="12" spans="1:9" ht="39" customHeight="1">
      <c r="A12" s="23"/>
      <c r="B12" s="22"/>
      <c r="C12" s="22"/>
      <c r="D12" s="22"/>
      <c r="E12" s="22"/>
      <c r="F12" s="22"/>
      <c r="G12" s="22"/>
      <c r="H12" s="22"/>
      <c r="I12" s="22"/>
    </row>
    <row r="13" spans="1:9" ht="39" customHeight="1">
      <c r="A13" s="23"/>
      <c r="B13" s="22"/>
      <c r="C13" s="22"/>
      <c r="D13" s="22"/>
      <c r="E13" s="22"/>
      <c r="F13" s="22"/>
      <c r="G13" s="22"/>
      <c r="H13" s="22"/>
      <c r="I13" s="22"/>
    </row>
    <row r="14" spans="1:9" ht="39" customHeight="1">
      <c r="A14" s="23"/>
      <c r="B14" s="22"/>
      <c r="C14" s="22"/>
      <c r="D14" s="22"/>
      <c r="E14" s="22"/>
      <c r="F14" s="22"/>
      <c r="G14" s="22"/>
      <c r="H14" s="22"/>
      <c r="I14" s="22"/>
    </row>
    <row r="16" spans="1:9" ht="19.899999999999999" customHeight="1">
      <c r="A16" s="18" t="s">
        <v>68</v>
      </c>
      <c r="B16" s="15"/>
      <c r="C16" s="15"/>
      <c r="D16" s="15"/>
      <c r="E16" s="15"/>
      <c r="F16" s="15"/>
      <c r="G16" s="15"/>
      <c r="H16" s="15"/>
      <c r="I16" s="15"/>
    </row>
    <row r="17" spans="1:9" ht="30" customHeight="1">
      <c r="A17" s="20" t="s">
        <v>69</v>
      </c>
      <c r="B17" s="31" t="s">
        <v>65</v>
      </c>
      <c r="C17" s="32"/>
      <c r="D17" s="24" t="s">
        <v>70</v>
      </c>
      <c r="E17" s="24" t="s">
        <v>71</v>
      </c>
      <c r="F17" s="24" t="s">
        <v>72</v>
      </c>
      <c r="G17" s="24" t="s">
        <v>73</v>
      </c>
      <c r="H17" s="31" t="s">
        <v>74</v>
      </c>
      <c r="I17" s="32"/>
    </row>
    <row r="18" spans="1:9" ht="36" customHeight="1">
      <c r="A18" s="25" t="s">
        <v>75</v>
      </c>
      <c r="B18" s="27"/>
      <c r="C18" s="45"/>
      <c r="D18" s="26"/>
      <c r="E18" s="22"/>
      <c r="F18" s="22"/>
      <c r="G18" s="26"/>
      <c r="H18" s="27"/>
      <c r="I18" s="45"/>
    </row>
    <row r="19" spans="1:9" ht="36" customHeight="1">
      <c r="A19" s="25" t="s">
        <v>76</v>
      </c>
      <c r="B19" s="27"/>
      <c r="C19" s="45"/>
      <c r="D19" s="26"/>
      <c r="E19" s="22"/>
      <c r="F19" s="22"/>
      <c r="G19" s="26"/>
      <c r="H19" s="27"/>
      <c r="I19" s="45"/>
    </row>
    <row r="20" spans="1:9" ht="36" customHeight="1">
      <c r="A20" s="25" t="s">
        <v>77</v>
      </c>
      <c r="B20" s="27"/>
      <c r="C20" s="45"/>
      <c r="D20" s="26"/>
      <c r="E20" s="22"/>
      <c r="F20" s="22"/>
      <c r="G20" s="26"/>
      <c r="H20" s="27"/>
      <c r="I20" s="45"/>
    </row>
    <row r="21" spans="1:9" ht="36" customHeight="1">
      <c r="A21" s="25" t="s">
        <v>78</v>
      </c>
      <c r="B21" s="27"/>
      <c r="C21" s="45"/>
      <c r="D21" s="26"/>
      <c r="E21" s="22"/>
      <c r="F21" s="22"/>
      <c r="G21" s="26"/>
      <c r="H21" s="27"/>
      <c r="I21" s="45"/>
    </row>
    <row r="23" spans="1:9" ht="25.9" customHeight="1">
      <c r="A23" s="28" t="s">
        <v>79</v>
      </c>
      <c r="B23" s="44"/>
      <c r="C23" s="44"/>
      <c r="D23" s="44"/>
      <c r="E23" s="44"/>
      <c r="F23" s="44"/>
      <c r="G23" s="44"/>
      <c r="H23" s="44"/>
      <c r="I23" s="44"/>
    </row>
  </sheetData>
  <mergeCells count="13">
    <mergeCell ref="A1:I2"/>
    <mergeCell ref="A3:I3"/>
    <mergeCell ref="B17:C17"/>
    <mergeCell ref="H17:I17"/>
    <mergeCell ref="B18:C18"/>
    <mergeCell ref="H18:I18"/>
    <mergeCell ref="B21:C21"/>
    <mergeCell ref="H21:I21"/>
    <mergeCell ref="A23:I23"/>
    <mergeCell ref="B19:C19"/>
    <mergeCell ref="H19:I19"/>
    <mergeCell ref="B20:C20"/>
    <mergeCell ref="H20:I20"/>
  </mergeCells>
  <dataValidations count="2">
    <dataValidation type="list" allowBlank="1" sqref="H7:H14" xr:uid="{7EAE05AC-BA42-465B-88FE-BF23EFDFC0C8}">
      <formula1>"Ja,Nein,Teilweise,Offen"</formula1>
    </dataValidation>
    <dataValidation type="list" allowBlank="1" showInputMessage="1" showErrorMessage="1" sqref="F18:F21" xr:uid="{62FBC10A-D634-4B79-BA9C-D9A3BF34A2BB}">
      <formula1>"Niedrig,Mittel,Hoch"</formula1>
    </dataValidation>
  </dataValidations>
  <pageMargins left="0.25" right="0.25" top="0.35" bottom="0.35" header="0.15" footer="0.15"/>
  <pageSetup paperSize="9" orientation="landscape"/>
  <headerFooter>
    <oddFooter>&amp;C&amp;8 &amp;K666666Kompaktes Process Definition Document |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  <pageSetUpPr fitToPage="1"/>
  </sheetPr>
  <dimension ref="A1:H31"/>
  <sheetViews>
    <sheetView showGridLines="0" workbookViewId="0">
      <pane ySplit="3" topLeftCell="A4" activePane="bottomLeft" state="frozen"/>
      <selection pane="bottomLeft" sqref="A1:H1"/>
    </sheetView>
  </sheetViews>
  <sheetFormatPr defaultColWidth="9.140625" defaultRowHeight="14.45"/>
  <cols>
    <col min="1" max="1" width="24" customWidth="1"/>
    <col min="2" max="2" width="28" customWidth="1"/>
    <col min="3" max="5" width="26" customWidth="1"/>
    <col min="6" max="8" width="22" customWidth="1"/>
  </cols>
  <sheetData>
    <row r="1" spans="1:8" ht="32.1" customHeight="1">
      <c r="A1" s="38" t="s">
        <v>80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81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82</v>
      </c>
      <c r="B4" s="34"/>
      <c r="C4" s="34"/>
      <c r="D4" s="34"/>
      <c r="E4" s="34"/>
      <c r="F4" s="34"/>
      <c r="G4" s="34"/>
      <c r="H4" s="34"/>
    </row>
    <row r="5" spans="1:8">
      <c r="A5" s="3" t="s">
        <v>3</v>
      </c>
      <c r="B5" s="4"/>
      <c r="C5" s="1"/>
      <c r="D5" s="1"/>
      <c r="E5" s="1"/>
      <c r="F5" s="1"/>
      <c r="G5" s="1"/>
      <c r="H5" s="1"/>
    </row>
    <row r="6" spans="1:8">
      <c r="A6" s="3" t="s">
        <v>27</v>
      </c>
      <c r="B6" s="4"/>
      <c r="C6" s="1"/>
      <c r="D6" s="1"/>
      <c r="E6" s="1"/>
      <c r="F6" s="1"/>
      <c r="G6" s="1"/>
      <c r="H6" s="1"/>
    </row>
    <row r="7" spans="1:8">
      <c r="A7" s="3" t="s">
        <v>29</v>
      </c>
      <c r="B7" s="4"/>
      <c r="C7" s="1"/>
      <c r="D7" s="1"/>
      <c r="E7" s="1"/>
      <c r="F7" s="1"/>
      <c r="G7" s="1"/>
      <c r="H7" s="1"/>
    </row>
    <row r="8" spans="1:8">
      <c r="A8" s="3" t="s">
        <v>83</v>
      </c>
      <c r="B8" s="4"/>
      <c r="C8" s="1"/>
      <c r="D8" s="1"/>
      <c r="E8" s="1"/>
      <c r="F8" s="1"/>
      <c r="G8" s="1"/>
      <c r="H8" s="1"/>
    </row>
    <row r="9" spans="1:8" ht="43.15">
      <c r="A9" s="3" t="s">
        <v>84</v>
      </c>
      <c r="B9" s="4" t="s">
        <v>85</v>
      </c>
      <c r="C9" s="1"/>
      <c r="D9" s="1"/>
      <c r="E9" s="1"/>
      <c r="F9" s="1"/>
      <c r="G9" s="1"/>
      <c r="H9" s="1"/>
    </row>
    <row r="10" spans="1:8">
      <c r="A10" s="3" t="s">
        <v>86</v>
      </c>
      <c r="B10" s="4"/>
      <c r="C10" s="1"/>
      <c r="D10" s="1"/>
      <c r="E10" s="1"/>
      <c r="F10" s="1"/>
      <c r="G10" s="1"/>
      <c r="H10" s="1"/>
    </row>
    <row r="11" spans="1:8">
      <c r="A11" s="3" t="s">
        <v>87</v>
      </c>
      <c r="B11" s="4"/>
      <c r="C11" s="1"/>
      <c r="D11" s="1"/>
      <c r="E11" s="1"/>
      <c r="F11" s="1"/>
      <c r="G11" s="1"/>
      <c r="H11" s="1"/>
    </row>
    <row r="12" spans="1:8">
      <c r="A12" s="3" t="s">
        <v>44</v>
      </c>
      <c r="B12" s="4"/>
      <c r="C12" s="1"/>
      <c r="D12" s="1"/>
      <c r="E12" s="1"/>
      <c r="F12" s="1"/>
      <c r="G12" s="1"/>
      <c r="H12" s="1"/>
    </row>
    <row r="13" spans="1:8">
      <c r="A13" s="3" t="s">
        <v>28</v>
      </c>
      <c r="B13" s="4"/>
      <c r="C13" s="1"/>
      <c r="D13" s="1"/>
      <c r="E13" s="1"/>
      <c r="F13" s="1"/>
      <c r="G13" s="1"/>
      <c r="H13" s="1"/>
    </row>
    <row r="14" spans="1:8" ht="43.15">
      <c r="A14" s="3" t="s">
        <v>88</v>
      </c>
      <c r="B14" s="4" t="s">
        <v>89</v>
      </c>
      <c r="C14" s="1"/>
      <c r="D14" s="1"/>
      <c r="E14" s="1"/>
      <c r="F14" s="1"/>
      <c r="G14" s="1"/>
      <c r="H14" s="1"/>
    </row>
    <row r="15" spans="1:8" ht="43.15">
      <c r="A15" s="3" t="s">
        <v>5</v>
      </c>
      <c r="B15" s="4" t="s">
        <v>90</v>
      </c>
      <c r="C15" s="1"/>
      <c r="D15" s="1"/>
      <c r="E15" s="1"/>
      <c r="F15" s="1"/>
      <c r="G15" s="1"/>
      <c r="H15" s="1"/>
    </row>
    <row r="16" spans="1:8">
      <c r="A16" s="3" t="s">
        <v>91</v>
      </c>
      <c r="B16" s="4"/>
      <c r="C16" s="1"/>
      <c r="D16" s="1"/>
      <c r="E16" s="1"/>
      <c r="F16" s="1"/>
      <c r="G16" s="1"/>
      <c r="H16" s="1"/>
    </row>
    <row r="17" spans="1:8">
      <c r="A17" s="3" t="s">
        <v>92</v>
      </c>
      <c r="B17" s="4"/>
      <c r="C17" s="1"/>
      <c r="D17" s="1"/>
      <c r="E17" s="1"/>
      <c r="F17" s="1"/>
      <c r="G17" s="1"/>
      <c r="H17" s="1"/>
    </row>
    <row r="18" spans="1:8">
      <c r="A18" s="3" t="s">
        <v>93</v>
      </c>
      <c r="B18" s="4"/>
      <c r="C18" s="1"/>
      <c r="D18" s="1"/>
      <c r="E18" s="1"/>
      <c r="F18" s="1"/>
      <c r="G18" s="1"/>
      <c r="H18" s="1"/>
    </row>
    <row r="19" spans="1:8">
      <c r="A19" s="3" t="s">
        <v>94</v>
      </c>
      <c r="B19" s="4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 ht="21.95" customHeight="1">
      <c r="A22" s="35" t="s">
        <v>95</v>
      </c>
      <c r="B22" s="34"/>
      <c r="C22" s="34"/>
      <c r="D22" s="34"/>
      <c r="E22" s="34"/>
      <c r="F22" s="34"/>
      <c r="G22" s="34"/>
      <c r="H22" s="34"/>
    </row>
    <row r="23" spans="1:8">
      <c r="A23" s="42" t="s">
        <v>96</v>
      </c>
      <c r="B23" s="34"/>
      <c r="C23" s="34"/>
      <c r="D23" s="34"/>
      <c r="E23" s="34"/>
      <c r="F23" s="34"/>
      <c r="G23" s="34"/>
      <c r="H23" s="34"/>
    </row>
    <row r="24" spans="1:8">
      <c r="A24" s="34"/>
      <c r="B24" s="34"/>
      <c r="C24" s="34"/>
      <c r="D24" s="34"/>
      <c r="E24" s="34"/>
      <c r="F24" s="34"/>
      <c r="G24" s="34"/>
      <c r="H24" s="34"/>
    </row>
    <row r="25" spans="1:8">
      <c r="A25" s="34"/>
      <c r="B25" s="34"/>
      <c r="C25" s="34"/>
      <c r="D25" s="34"/>
      <c r="E25" s="34"/>
      <c r="F25" s="34"/>
      <c r="G25" s="34"/>
      <c r="H25" s="34"/>
    </row>
    <row r="26" spans="1:8">
      <c r="A26" s="34"/>
      <c r="B26" s="34"/>
      <c r="C26" s="34"/>
      <c r="D26" s="34"/>
      <c r="E26" s="34"/>
      <c r="F26" s="34"/>
      <c r="G26" s="34"/>
      <c r="H26" s="34"/>
    </row>
    <row r="27" spans="1:8">
      <c r="A27" s="34"/>
      <c r="B27" s="34"/>
      <c r="C27" s="34"/>
      <c r="D27" s="34"/>
      <c r="E27" s="34"/>
      <c r="F27" s="34"/>
      <c r="G27" s="34"/>
      <c r="H27" s="34"/>
    </row>
    <row r="28" spans="1:8">
      <c r="A28" s="34"/>
      <c r="B28" s="34"/>
      <c r="C28" s="34"/>
      <c r="D28" s="34"/>
      <c r="E28" s="34"/>
      <c r="F28" s="34"/>
      <c r="G28" s="34"/>
      <c r="H28" s="34"/>
    </row>
    <row r="29" spans="1:8">
      <c r="A29" s="34"/>
      <c r="B29" s="34"/>
      <c r="C29" s="34"/>
      <c r="D29" s="34"/>
      <c r="E29" s="34"/>
      <c r="F29" s="34"/>
      <c r="G29" s="34"/>
      <c r="H29" s="34"/>
    </row>
    <row r="30" spans="1:8">
      <c r="A30" s="34"/>
      <c r="B30" s="34"/>
      <c r="C30" s="34"/>
      <c r="D30" s="34"/>
      <c r="E30" s="34"/>
      <c r="F30" s="34"/>
      <c r="G30" s="34"/>
      <c r="H30" s="34"/>
    </row>
    <row r="31" spans="1:8">
      <c r="A31" s="34"/>
      <c r="B31" s="34"/>
      <c r="C31" s="34"/>
      <c r="D31" s="34"/>
      <c r="E31" s="34"/>
      <c r="F31" s="34"/>
      <c r="G31" s="34"/>
      <c r="H31" s="34"/>
    </row>
  </sheetData>
  <mergeCells count="5">
    <mergeCell ref="A4:H4"/>
    <mergeCell ref="A2:H2"/>
    <mergeCell ref="A23:H31"/>
    <mergeCell ref="A1:H1"/>
    <mergeCell ref="A22:H2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  <pageSetUpPr fitToPage="1"/>
  </sheetPr>
  <dimension ref="A1:J30"/>
  <sheetViews>
    <sheetView showGridLines="0" workbookViewId="0">
      <selection activeCell="G24" sqref="G24"/>
    </sheetView>
  </sheetViews>
  <sheetFormatPr defaultColWidth="9.140625" defaultRowHeight="14.45"/>
  <cols>
    <col min="1" max="1" width="30.140625" customWidth="1"/>
    <col min="2" max="2" width="35" customWidth="1"/>
    <col min="3" max="3" width="28" customWidth="1"/>
    <col min="4" max="5" width="25" customWidth="1"/>
    <col min="6" max="7" width="35" customWidth="1"/>
    <col min="8" max="8" width="20" customWidth="1"/>
    <col min="9" max="9" width="24" customWidth="1"/>
    <col min="10" max="10" width="35" customWidth="1"/>
  </cols>
  <sheetData>
    <row r="1" spans="1:10" ht="32.1" customHeight="1">
      <c r="A1" s="38" t="s">
        <v>97</v>
      </c>
      <c r="B1" s="34"/>
      <c r="C1" s="34"/>
      <c r="D1" s="34"/>
      <c r="E1" s="34"/>
      <c r="F1" s="34"/>
      <c r="G1" s="34"/>
      <c r="H1" s="34"/>
      <c r="I1" s="1"/>
      <c r="J1" s="1"/>
    </row>
    <row r="2" spans="1:10" ht="24" customHeight="1">
      <c r="A2" s="36" t="s">
        <v>98</v>
      </c>
      <c r="B2" s="34"/>
      <c r="C2" s="34"/>
      <c r="D2" s="34"/>
      <c r="E2" s="34"/>
      <c r="F2" s="34"/>
      <c r="G2" s="34"/>
      <c r="H2" s="34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1.95" customHeight="1">
      <c r="A4" s="35" t="s">
        <v>99</v>
      </c>
      <c r="B4" s="34"/>
      <c r="C4" s="34"/>
      <c r="D4" s="34"/>
      <c r="E4" s="34"/>
      <c r="F4" s="34"/>
      <c r="G4" s="34"/>
      <c r="H4" s="34"/>
      <c r="I4" s="1"/>
      <c r="J4" s="1"/>
    </row>
    <row r="5" spans="1:10">
      <c r="A5" s="3" t="s">
        <v>100</v>
      </c>
      <c r="B5" s="4"/>
      <c r="C5" s="1"/>
      <c r="D5" s="1"/>
      <c r="E5" s="1"/>
      <c r="F5" s="1"/>
      <c r="G5" s="1"/>
      <c r="H5" s="1"/>
      <c r="I5" s="1"/>
      <c r="J5" s="1"/>
    </row>
    <row r="6" spans="1:10">
      <c r="A6" s="3" t="s">
        <v>101</v>
      </c>
      <c r="B6" s="4"/>
      <c r="C6" s="1"/>
      <c r="D6" s="1"/>
      <c r="E6" s="1"/>
      <c r="F6" s="1"/>
      <c r="G6" s="1"/>
      <c r="H6" s="1"/>
      <c r="I6" s="1"/>
      <c r="J6" s="1"/>
    </row>
    <row r="7" spans="1:10">
      <c r="A7" s="3" t="s">
        <v>34</v>
      </c>
      <c r="B7" s="4"/>
      <c r="C7" s="1"/>
      <c r="D7" s="1"/>
      <c r="E7" s="1"/>
      <c r="F7" s="1"/>
      <c r="G7" s="1"/>
      <c r="H7" s="1"/>
      <c r="I7" s="1"/>
      <c r="J7" s="1"/>
    </row>
    <row r="8" spans="1:10">
      <c r="A8" s="3" t="s">
        <v>35</v>
      </c>
      <c r="B8" s="4"/>
      <c r="C8" s="1"/>
      <c r="D8" s="1"/>
      <c r="E8" s="1"/>
      <c r="F8" s="1"/>
      <c r="G8" s="1"/>
      <c r="H8" s="1"/>
      <c r="I8" s="1"/>
      <c r="J8" s="1"/>
    </row>
    <row r="9" spans="1:10" ht="28.9">
      <c r="A9" s="3" t="s">
        <v>102</v>
      </c>
      <c r="B9" s="4" t="s">
        <v>103</v>
      </c>
      <c r="C9" s="1"/>
      <c r="D9" s="1"/>
      <c r="E9" s="1"/>
      <c r="F9" s="1"/>
      <c r="G9" s="1"/>
      <c r="H9" s="1"/>
      <c r="I9" s="1"/>
      <c r="J9" s="1"/>
    </row>
    <row r="10" spans="1:10">
      <c r="A10" s="3" t="s">
        <v>36</v>
      </c>
      <c r="B10" s="4"/>
      <c r="C10" s="1"/>
      <c r="D10" s="1"/>
      <c r="E10" s="1"/>
      <c r="F10" s="1"/>
      <c r="G10" s="1"/>
      <c r="H10" s="1"/>
      <c r="I10" s="1"/>
      <c r="J10" s="1"/>
    </row>
    <row r="11" spans="1:10">
      <c r="A11" s="3" t="s">
        <v>104</v>
      </c>
      <c r="B11" s="4"/>
      <c r="C11" s="1"/>
      <c r="D11" s="1"/>
      <c r="E11" s="1"/>
      <c r="F11" s="1"/>
      <c r="G11" s="1"/>
      <c r="H11" s="1"/>
      <c r="I11" s="1"/>
      <c r="J11" s="1"/>
    </row>
    <row r="12" spans="1:10">
      <c r="A12" s="3" t="s">
        <v>41</v>
      </c>
      <c r="B12" s="4"/>
      <c r="C12" s="1"/>
      <c r="D12" s="1"/>
      <c r="E12" s="1"/>
      <c r="F12" s="1"/>
      <c r="G12" s="1"/>
      <c r="H12" s="1"/>
      <c r="I12" s="1"/>
      <c r="J12" s="1"/>
    </row>
    <row r="13" spans="1:10">
      <c r="A13" s="3" t="s">
        <v>105</v>
      </c>
      <c r="B13" s="4"/>
      <c r="C13" s="1"/>
      <c r="D13" s="1"/>
      <c r="E13" s="1"/>
      <c r="F13" s="1"/>
      <c r="G13" s="1"/>
      <c r="H13" s="1"/>
      <c r="I13" s="1"/>
      <c r="J13" s="1"/>
    </row>
    <row r="14" spans="1:10" ht="28.9">
      <c r="A14" s="3" t="s">
        <v>106</v>
      </c>
      <c r="B14" s="4" t="s">
        <v>107</v>
      </c>
      <c r="C14" s="1"/>
      <c r="D14" s="1"/>
      <c r="E14" s="1"/>
      <c r="F14" s="1"/>
      <c r="G14" s="1"/>
      <c r="H14" s="1"/>
      <c r="I14" s="1"/>
      <c r="J14" s="1"/>
    </row>
    <row r="15" spans="1:10" ht="28.9">
      <c r="A15" s="3" t="s">
        <v>108</v>
      </c>
      <c r="B15" s="4" t="s">
        <v>109</v>
      </c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1.95" customHeight="1">
      <c r="A18" s="35" t="s">
        <v>110</v>
      </c>
      <c r="B18" s="34"/>
      <c r="C18" s="34"/>
      <c r="D18" s="34"/>
      <c r="E18" s="34"/>
      <c r="F18" s="34"/>
      <c r="G18" s="34"/>
      <c r="H18" s="34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8.9">
      <c r="A20" s="2" t="s">
        <v>59</v>
      </c>
      <c r="B20" s="2" t="s">
        <v>60</v>
      </c>
      <c r="C20" s="2" t="s">
        <v>61</v>
      </c>
      <c r="D20" s="2" t="s">
        <v>62</v>
      </c>
      <c r="E20" s="2" t="s">
        <v>63</v>
      </c>
      <c r="F20" s="2" t="s">
        <v>111</v>
      </c>
      <c r="G20" s="2" t="s">
        <v>112</v>
      </c>
      <c r="H20" s="2" t="s">
        <v>113</v>
      </c>
      <c r="I20" s="2" t="s">
        <v>114</v>
      </c>
      <c r="J20" s="2" t="s">
        <v>115</v>
      </c>
    </row>
    <row r="21" spans="1:10">
      <c r="A21" s="5">
        <v>1</v>
      </c>
      <c r="B21" s="4"/>
      <c r="C21" s="4"/>
      <c r="D21" s="4"/>
      <c r="E21" s="4"/>
      <c r="F21" s="4"/>
      <c r="G21" s="4"/>
      <c r="H21" s="4" t="s">
        <v>116</v>
      </c>
      <c r="I21" s="4" t="s">
        <v>117</v>
      </c>
      <c r="J21" s="4"/>
    </row>
    <row r="22" spans="1:10">
      <c r="A22" s="5">
        <v>2</v>
      </c>
      <c r="B22" s="4"/>
      <c r="C22" s="4"/>
      <c r="D22" s="4"/>
      <c r="E22" s="4"/>
      <c r="F22" s="4"/>
      <c r="G22" s="4"/>
      <c r="H22" s="4" t="s">
        <v>116</v>
      </c>
      <c r="I22" s="4" t="s">
        <v>117</v>
      </c>
      <c r="J22" s="4"/>
    </row>
    <row r="23" spans="1:10">
      <c r="A23" s="5">
        <v>3</v>
      </c>
      <c r="B23" s="4"/>
      <c r="C23" s="4"/>
      <c r="D23" s="4"/>
      <c r="E23" s="4"/>
      <c r="F23" s="4"/>
      <c r="G23" s="4"/>
      <c r="H23" s="4" t="s">
        <v>116</v>
      </c>
      <c r="I23" s="4" t="s">
        <v>117</v>
      </c>
      <c r="J23" s="4"/>
    </row>
    <row r="24" spans="1:10">
      <c r="A24" s="5">
        <v>4</v>
      </c>
      <c r="B24" s="4"/>
      <c r="C24" s="4"/>
      <c r="D24" s="4"/>
      <c r="E24" s="4"/>
      <c r="F24" s="4"/>
      <c r="G24" s="4"/>
      <c r="H24" s="4" t="s">
        <v>116</v>
      </c>
      <c r="I24" s="4" t="s">
        <v>117</v>
      </c>
      <c r="J24" s="4"/>
    </row>
    <row r="25" spans="1:10">
      <c r="A25" s="5">
        <v>5</v>
      </c>
      <c r="B25" s="4"/>
      <c r="C25" s="4"/>
      <c r="D25" s="4"/>
      <c r="E25" s="4"/>
      <c r="F25" s="4"/>
      <c r="G25" s="4"/>
      <c r="H25" s="4" t="s">
        <v>116</v>
      </c>
      <c r="I25" s="4" t="s">
        <v>117</v>
      </c>
      <c r="J25" s="4"/>
    </row>
    <row r="26" spans="1:10">
      <c r="A26" s="5">
        <v>6</v>
      </c>
      <c r="B26" s="4"/>
      <c r="C26" s="4"/>
      <c r="D26" s="4"/>
      <c r="E26" s="4"/>
      <c r="F26" s="4"/>
      <c r="G26" s="4"/>
      <c r="H26" s="4" t="s">
        <v>116</v>
      </c>
      <c r="I26" s="4" t="s">
        <v>117</v>
      </c>
      <c r="J26" s="4"/>
    </row>
    <row r="27" spans="1:10">
      <c r="A27" s="5">
        <v>7</v>
      </c>
      <c r="B27" s="4"/>
      <c r="C27" s="4"/>
      <c r="D27" s="4"/>
      <c r="E27" s="4"/>
      <c r="F27" s="4"/>
      <c r="G27" s="4"/>
      <c r="H27" s="4" t="s">
        <v>116</v>
      </c>
      <c r="I27" s="4" t="s">
        <v>117</v>
      </c>
      <c r="J27" s="4"/>
    </row>
    <row r="28" spans="1:10">
      <c r="A28" s="5">
        <v>8</v>
      </c>
      <c r="B28" s="4"/>
      <c r="C28" s="4"/>
      <c r="D28" s="4"/>
      <c r="E28" s="4"/>
      <c r="F28" s="4"/>
      <c r="G28" s="4"/>
      <c r="H28" s="4" t="s">
        <v>116</v>
      </c>
      <c r="I28" s="4" t="s">
        <v>117</v>
      </c>
      <c r="J28" s="4"/>
    </row>
    <row r="29" spans="1:10">
      <c r="A29" s="5">
        <v>9</v>
      </c>
      <c r="B29" s="4"/>
      <c r="C29" s="4"/>
      <c r="D29" s="4"/>
      <c r="E29" s="4"/>
      <c r="F29" s="4"/>
      <c r="G29" s="4"/>
      <c r="H29" s="4" t="s">
        <v>116</v>
      </c>
      <c r="I29" s="4" t="s">
        <v>117</v>
      </c>
      <c r="J29" s="4"/>
    </row>
    <row r="30" spans="1:10">
      <c r="A30" s="5">
        <v>10</v>
      </c>
      <c r="B30" s="4"/>
      <c r="C30" s="4"/>
      <c r="D30" s="4"/>
      <c r="E30" s="4"/>
      <c r="F30" s="4"/>
      <c r="G30" s="4"/>
      <c r="H30" s="4" t="s">
        <v>116</v>
      </c>
      <c r="I30" s="4" t="s">
        <v>117</v>
      </c>
      <c r="J30" s="4"/>
    </row>
  </sheetData>
  <mergeCells count="4">
    <mergeCell ref="A18:H18"/>
    <mergeCell ref="A4:H4"/>
    <mergeCell ref="A2:H2"/>
    <mergeCell ref="A1:H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4"/>
  <sheetViews>
    <sheetView showGridLines="0" workbookViewId="0">
      <pane ySplit="14" topLeftCell="A15" activePane="bottomLeft" state="frozen"/>
      <selection pane="bottomLeft" activeCell="D18" sqref="D18"/>
    </sheetView>
  </sheetViews>
  <sheetFormatPr defaultColWidth="9.140625" defaultRowHeight="14.45"/>
  <cols>
    <col min="1" max="1" width="28" customWidth="1"/>
    <col min="2" max="2" width="38" customWidth="1"/>
    <col min="3" max="3" width="16" customWidth="1"/>
    <col min="4" max="4" width="18" customWidth="1"/>
    <col min="5" max="5" width="28" customWidth="1"/>
    <col min="6" max="6" width="35" customWidth="1"/>
    <col min="7" max="7" width="18" customWidth="1"/>
    <col min="8" max="8" width="20" customWidth="1"/>
    <col min="9" max="9" width="35" customWidth="1"/>
  </cols>
  <sheetData>
    <row r="1" spans="1:9" ht="32.1" customHeight="1">
      <c r="A1" s="38" t="s">
        <v>118</v>
      </c>
      <c r="B1" s="34"/>
      <c r="C1" s="34"/>
      <c r="D1" s="34"/>
      <c r="E1" s="34"/>
      <c r="F1" s="34"/>
      <c r="G1" s="34"/>
      <c r="H1" s="34"/>
      <c r="I1" s="1"/>
    </row>
    <row r="2" spans="1:9" ht="24" customHeight="1">
      <c r="A2" s="36" t="s">
        <v>119</v>
      </c>
      <c r="B2" s="34"/>
      <c r="C2" s="34"/>
      <c r="D2" s="34"/>
      <c r="E2" s="34"/>
      <c r="F2" s="34"/>
      <c r="G2" s="34"/>
      <c r="H2" s="34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21.95" customHeight="1">
      <c r="A4" s="35" t="s">
        <v>120</v>
      </c>
      <c r="B4" s="34"/>
      <c r="C4" s="34"/>
      <c r="D4" s="34"/>
      <c r="E4" s="34"/>
      <c r="F4" s="34"/>
      <c r="G4" s="34"/>
      <c r="H4" s="34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 ht="28.9">
      <c r="A6" s="2" t="s">
        <v>121</v>
      </c>
      <c r="B6" s="2" t="s">
        <v>122</v>
      </c>
      <c r="C6" s="2" t="s">
        <v>123</v>
      </c>
      <c r="D6" s="2" t="s">
        <v>124</v>
      </c>
      <c r="E6" s="2" t="s">
        <v>125</v>
      </c>
      <c r="F6" s="2" t="s">
        <v>126</v>
      </c>
      <c r="G6" s="2" t="s">
        <v>127</v>
      </c>
      <c r="H6" s="2" t="s">
        <v>128</v>
      </c>
      <c r="I6" s="2" t="s">
        <v>115</v>
      </c>
    </row>
    <row r="7" spans="1:9">
      <c r="A7" s="5" t="s">
        <v>129</v>
      </c>
      <c r="B7" s="4" t="s">
        <v>130</v>
      </c>
      <c r="C7" s="4"/>
      <c r="D7" s="4"/>
      <c r="E7" s="4" t="s">
        <v>131</v>
      </c>
      <c r="F7" s="4"/>
      <c r="G7" s="4"/>
      <c r="H7" s="4" t="s">
        <v>132</v>
      </c>
      <c r="I7" s="4"/>
    </row>
    <row r="8" spans="1:9" ht="28.9">
      <c r="A8" s="5" t="s">
        <v>133</v>
      </c>
      <c r="B8" s="4" t="s">
        <v>134</v>
      </c>
      <c r="C8" s="4"/>
      <c r="D8" s="4"/>
      <c r="E8" s="4" t="s">
        <v>135</v>
      </c>
      <c r="F8" s="4"/>
      <c r="G8" s="4"/>
      <c r="H8" s="4" t="s">
        <v>132</v>
      </c>
      <c r="I8" s="4"/>
    </row>
    <row r="9" spans="1:9">
      <c r="A9" s="5" t="s">
        <v>136</v>
      </c>
      <c r="B9" s="4" t="s">
        <v>137</v>
      </c>
      <c r="C9" s="4"/>
      <c r="D9" s="4"/>
      <c r="E9" s="4" t="s">
        <v>138</v>
      </c>
      <c r="F9" s="4"/>
      <c r="G9" s="4"/>
      <c r="H9" s="4" t="s">
        <v>132</v>
      </c>
      <c r="I9" s="4"/>
    </row>
    <row r="10" spans="1:9">
      <c r="A10" s="5" t="s">
        <v>139</v>
      </c>
      <c r="B10" s="4" t="s">
        <v>140</v>
      </c>
      <c r="C10" s="4"/>
      <c r="D10" s="4"/>
      <c r="E10" s="4" t="s">
        <v>141</v>
      </c>
      <c r="F10" s="4"/>
      <c r="G10" s="4"/>
      <c r="H10" s="4" t="s">
        <v>142</v>
      </c>
      <c r="I10" s="4"/>
    </row>
    <row r="11" spans="1:9" ht="28.9">
      <c r="A11" s="5" t="s">
        <v>143</v>
      </c>
      <c r="B11" s="4" t="s">
        <v>144</v>
      </c>
      <c r="C11" s="4"/>
      <c r="D11" s="4"/>
      <c r="E11" s="4" t="s">
        <v>145</v>
      </c>
      <c r="F11" s="4"/>
      <c r="G11" s="4"/>
      <c r="H11" s="4" t="s">
        <v>142</v>
      </c>
      <c r="I11" s="4"/>
    </row>
    <row r="12" spans="1:9" ht="28.9">
      <c r="A12" s="5" t="s">
        <v>146</v>
      </c>
      <c r="B12" s="4" t="s">
        <v>147</v>
      </c>
      <c r="C12" s="4"/>
      <c r="D12" s="4"/>
      <c r="E12" s="4" t="s">
        <v>148</v>
      </c>
      <c r="F12" s="4"/>
      <c r="G12" s="4"/>
      <c r="H12" s="4" t="s">
        <v>132</v>
      </c>
      <c r="I12" s="4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</sheetData>
  <mergeCells count="3">
    <mergeCell ref="A4:H4"/>
    <mergeCell ref="A2:H2"/>
    <mergeCell ref="A1:H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  <pageSetUpPr fitToPage="1"/>
  </sheetPr>
  <dimension ref="A1:H28"/>
  <sheetViews>
    <sheetView showGridLines="0" workbookViewId="0">
      <selection activeCell="D21" sqref="D21"/>
    </sheetView>
  </sheetViews>
  <sheetFormatPr defaultColWidth="9.140625" defaultRowHeight="14.45"/>
  <cols>
    <col min="1" max="1" width="24" customWidth="1"/>
    <col min="2" max="2" width="18" customWidth="1"/>
    <col min="3" max="3" width="34" customWidth="1"/>
    <col min="4" max="4" width="20" customWidth="1"/>
    <col min="5" max="5" width="24" customWidth="1"/>
    <col min="6" max="7" width="35" customWidth="1"/>
    <col min="8" max="8" width="22" customWidth="1"/>
  </cols>
  <sheetData>
    <row r="1" spans="1:8" ht="32.1" customHeight="1">
      <c r="A1" s="38" t="s">
        <v>149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150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151</v>
      </c>
      <c r="B4" s="34"/>
      <c r="C4" s="34"/>
      <c r="D4" s="34"/>
      <c r="E4" s="34"/>
      <c r="F4" s="34"/>
      <c r="G4" s="34"/>
      <c r="H4" s="34"/>
    </row>
    <row r="5" spans="1:8">
      <c r="A5" s="3" t="s">
        <v>152</v>
      </c>
      <c r="B5" s="4"/>
      <c r="C5" s="1"/>
      <c r="D5" s="1"/>
      <c r="E5" s="1"/>
      <c r="F5" s="1"/>
      <c r="G5" s="1"/>
      <c r="H5" s="1"/>
    </row>
    <row r="6" spans="1:8" ht="57.6">
      <c r="A6" s="3" t="s">
        <v>49</v>
      </c>
      <c r="B6" s="4" t="s">
        <v>153</v>
      </c>
      <c r="C6" s="1"/>
      <c r="D6" s="1"/>
      <c r="E6" s="1"/>
      <c r="F6" s="1"/>
      <c r="G6" s="1"/>
      <c r="H6" s="1"/>
    </row>
    <row r="7" spans="1:8">
      <c r="A7" s="3" t="s">
        <v>154</v>
      </c>
      <c r="B7" s="4"/>
      <c r="C7" s="1"/>
      <c r="D7" s="1"/>
      <c r="E7" s="1"/>
      <c r="F7" s="1"/>
      <c r="G7" s="1"/>
      <c r="H7" s="1"/>
    </row>
    <row r="8" spans="1:8">
      <c r="A8" s="3" t="s">
        <v>155</v>
      </c>
      <c r="B8" s="4"/>
      <c r="C8" s="1"/>
      <c r="D8" s="1"/>
      <c r="E8" s="1"/>
      <c r="F8" s="1"/>
      <c r="G8" s="1"/>
      <c r="H8" s="1"/>
    </row>
    <row r="9" spans="1:8">
      <c r="A9" s="3" t="s">
        <v>156</v>
      </c>
      <c r="B9" s="4"/>
      <c r="C9" s="1"/>
      <c r="D9" s="1"/>
      <c r="E9" s="1"/>
      <c r="F9" s="1"/>
      <c r="G9" s="1"/>
      <c r="H9" s="1"/>
    </row>
    <row r="10" spans="1:8" ht="72">
      <c r="A10" s="3" t="s">
        <v>157</v>
      </c>
      <c r="B10" s="4" t="s">
        <v>158</v>
      </c>
      <c r="C10" s="1"/>
      <c r="D10" s="1"/>
      <c r="E10" s="1"/>
      <c r="F10" s="1"/>
      <c r="G10" s="1"/>
      <c r="H10" s="1"/>
    </row>
    <row r="11" spans="1:8">
      <c r="A11" s="3" t="s">
        <v>159</v>
      </c>
      <c r="B11" s="4"/>
      <c r="C11" s="1"/>
      <c r="D11" s="1"/>
      <c r="E11" s="1"/>
      <c r="F11" s="1"/>
      <c r="G11" s="1"/>
      <c r="H11" s="1"/>
    </row>
    <row r="12" spans="1:8">
      <c r="A12" s="3" t="s">
        <v>160</v>
      </c>
      <c r="B12" s="4"/>
      <c r="C12" s="1"/>
      <c r="D12" s="1"/>
      <c r="E12" s="1"/>
      <c r="F12" s="1"/>
      <c r="G12" s="1"/>
      <c r="H12" s="1"/>
    </row>
    <row r="13" spans="1:8" ht="28.9">
      <c r="A13" s="3" t="s">
        <v>161</v>
      </c>
      <c r="B13" s="4"/>
      <c r="C13" s="1"/>
      <c r="D13" s="1"/>
      <c r="E13" s="1"/>
      <c r="F13" s="1"/>
      <c r="G13" s="1"/>
      <c r="H13" s="1"/>
    </row>
    <row r="14" spans="1:8">
      <c r="A14" s="3" t="s">
        <v>162</v>
      </c>
      <c r="B14" s="4"/>
      <c r="C14" s="1"/>
      <c r="D14" s="1"/>
      <c r="E14" s="1"/>
      <c r="F14" s="1"/>
      <c r="G14" s="1"/>
      <c r="H14" s="1"/>
    </row>
    <row r="15" spans="1:8">
      <c r="A15" s="3" t="s">
        <v>163</v>
      </c>
      <c r="B15" s="4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1.95" customHeight="1">
      <c r="A18" s="35" t="s">
        <v>164</v>
      </c>
      <c r="B18" s="34"/>
      <c r="C18" s="34"/>
      <c r="D18" s="34"/>
      <c r="E18" s="34"/>
      <c r="F18" s="34"/>
      <c r="G18" s="34"/>
      <c r="H18" s="34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2" t="s">
        <v>165</v>
      </c>
      <c r="B20" s="2" t="s">
        <v>166</v>
      </c>
      <c r="C20" s="2" t="s">
        <v>167</v>
      </c>
      <c r="D20" s="2" t="s">
        <v>72</v>
      </c>
      <c r="E20" s="2" t="s">
        <v>168</v>
      </c>
      <c r="F20" s="2" t="s">
        <v>169</v>
      </c>
      <c r="G20" s="2" t="s">
        <v>115</v>
      </c>
      <c r="H20" s="1"/>
    </row>
    <row r="21" spans="1:8">
      <c r="A21" s="5"/>
      <c r="B21" s="4"/>
      <c r="C21" s="4"/>
      <c r="D21" s="4" t="s">
        <v>116</v>
      </c>
      <c r="E21" s="4"/>
      <c r="F21" s="4"/>
      <c r="G21" s="4"/>
      <c r="H21" s="1"/>
    </row>
    <row r="22" spans="1:8">
      <c r="A22" s="5"/>
      <c r="B22" s="4"/>
      <c r="C22" s="4"/>
      <c r="D22" s="4" t="s">
        <v>116</v>
      </c>
      <c r="E22" s="4"/>
      <c r="F22" s="4"/>
      <c r="G22" s="4"/>
      <c r="H22" s="1"/>
    </row>
    <row r="23" spans="1:8">
      <c r="A23" s="5"/>
      <c r="B23" s="4"/>
      <c r="C23" s="4"/>
      <c r="D23" s="4" t="s">
        <v>116</v>
      </c>
      <c r="E23" s="4"/>
      <c r="F23" s="4"/>
      <c r="G23" s="4"/>
      <c r="H23" s="1"/>
    </row>
    <row r="24" spans="1:8">
      <c r="A24" s="5"/>
      <c r="B24" s="4"/>
      <c r="C24" s="4"/>
      <c r="D24" s="4" t="s">
        <v>116</v>
      </c>
      <c r="E24" s="4"/>
      <c r="F24" s="4"/>
      <c r="G24" s="4"/>
      <c r="H24" s="1"/>
    </row>
    <row r="25" spans="1:8">
      <c r="A25" s="5"/>
      <c r="B25" s="4"/>
      <c r="C25" s="4"/>
      <c r="D25" s="4" t="s">
        <v>116</v>
      </c>
      <c r="E25" s="4"/>
      <c r="F25" s="4"/>
      <c r="G25" s="4"/>
      <c r="H25" s="1"/>
    </row>
    <row r="26" spans="1:8">
      <c r="A26" s="5"/>
      <c r="B26" s="4"/>
      <c r="C26" s="4"/>
      <c r="D26" s="4" t="s">
        <v>116</v>
      </c>
      <c r="E26" s="4"/>
      <c r="F26" s="4"/>
      <c r="G26" s="4"/>
      <c r="H26" s="1"/>
    </row>
    <row r="27" spans="1:8">
      <c r="A27" s="5"/>
      <c r="B27" s="4"/>
      <c r="C27" s="4"/>
      <c r="D27" s="4" t="s">
        <v>116</v>
      </c>
      <c r="E27" s="4"/>
      <c r="F27" s="4"/>
      <c r="G27" s="4"/>
      <c r="H27" s="1"/>
    </row>
    <row r="28" spans="1:8">
      <c r="A28" s="5"/>
      <c r="B28" s="4"/>
      <c r="C28" s="4"/>
      <c r="D28" s="4" t="s">
        <v>116</v>
      </c>
      <c r="E28" s="4"/>
      <c r="F28" s="4"/>
      <c r="G28" s="4"/>
      <c r="H28" s="1"/>
    </row>
  </sheetData>
  <mergeCells count="4">
    <mergeCell ref="A18:H18"/>
    <mergeCell ref="A4:H4"/>
    <mergeCell ref="A2:H2"/>
    <mergeCell ref="A1:H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9"/>
  <sheetViews>
    <sheetView showGridLines="0" topLeftCell="A2" workbookViewId="0">
      <selection activeCell="B49" sqref="B49"/>
    </sheetView>
  </sheetViews>
  <sheetFormatPr defaultColWidth="9.140625" defaultRowHeight="14.45"/>
  <cols>
    <col min="1" max="1" width="25" customWidth="1"/>
    <col min="2" max="2" width="55" customWidth="1"/>
    <col min="3" max="3" width="16" customWidth="1"/>
    <col min="4" max="5" width="14" customWidth="1"/>
    <col min="6" max="6" width="40" customWidth="1"/>
    <col min="7" max="8" width="22" customWidth="1"/>
  </cols>
  <sheetData>
    <row r="1" spans="1:8" ht="32.1" customHeight="1">
      <c r="A1" s="38" t="s">
        <v>170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171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172</v>
      </c>
      <c r="B4" s="34"/>
      <c r="C4" s="34"/>
      <c r="D4" s="34"/>
      <c r="E4" s="34"/>
      <c r="F4" s="34"/>
      <c r="G4" s="34"/>
      <c r="H4" s="34"/>
    </row>
    <row r="5" spans="1:8">
      <c r="A5" s="3" t="s">
        <v>173</v>
      </c>
      <c r="B5" s="4"/>
      <c r="C5" s="1"/>
      <c r="D5" s="1"/>
      <c r="E5" s="1"/>
      <c r="F5" s="1"/>
      <c r="G5" s="1"/>
      <c r="H5" s="1"/>
    </row>
    <row r="6" spans="1:8">
      <c r="A6" s="3" t="s">
        <v>174</v>
      </c>
      <c r="B6" s="4"/>
      <c r="C6" s="1"/>
      <c r="D6" s="1"/>
      <c r="E6" s="1"/>
      <c r="F6" s="1"/>
      <c r="G6" s="1"/>
      <c r="H6" s="1"/>
    </row>
    <row r="7" spans="1:8" ht="28.9">
      <c r="A7" s="3" t="s">
        <v>175</v>
      </c>
      <c r="B7" s="4"/>
      <c r="C7" s="1"/>
      <c r="D7" s="1"/>
      <c r="E7" s="1"/>
      <c r="F7" s="1"/>
      <c r="G7" s="1"/>
      <c r="H7" s="1"/>
    </row>
    <row r="8" spans="1:8" ht="28.9">
      <c r="A8" s="3" t="s">
        <v>176</v>
      </c>
      <c r="B8" s="4" t="s">
        <v>177</v>
      </c>
      <c r="C8" s="1"/>
      <c r="D8" s="1"/>
      <c r="E8" s="1"/>
      <c r="F8" s="1"/>
      <c r="G8" s="1"/>
      <c r="H8" s="1"/>
    </row>
    <row r="9" spans="1:8">
      <c r="A9" s="3" t="s">
        <v>178</v>
      </c>
      <c r="B9" s="4"/>
      <c r="C9" s="1"/>
      <c r="D9" s="1"/>
      <c r="E9" s="1"/>
      <c r="F9" s="1"/>
      <c r="G9" s="1"/>
      <c r="H9" s="1"/>
    </row>
    <row r="10" spans="1:8" ht="28.9">
      <c r="A10" s="3" t="s">
        <v>179</v>
      </c>
      <c r="B10" s="4" t="s">
        <v>180</v>
      </c>
      <c r="C10" s="1"/>
      <c r="D10" s="1"/>
      <c r="E10" s="1"/>
      <c r="F10" s="1"/>
      <c r="G10" s="1"/>
      <c r="H10" s="1"/>
    </row>
    <row r="11" spans="1:8" ht="28.9">
      <c r="A11" s="3" t="s">
        <v>181</v>
      </c>
      <c r="B11" s="4" t="s">
        <v>182</v>
      </c>
      <c r="C11" s="1"/>
      <c r="D11" s="1"/>
      <c r="E11" s="1"/>
      <c r="F11" s="1"/>
      <c r="G11" s="1"/>
      <c r="H11" s="1"/>
    </row>
    <row r="12" spans="1:8" ht="43.15">
      <c r="A12" s="3" t="s">
        <v>183</v>
      </c>
      <c r="B12" s="4"/>
      <c r="C12" s="1"/>
      <c r="D12" s="1"/>
      <c r="E12" s="1"/>
      <c r="F12" s="1"/>
      <c r="G12" s="1"/>
      <c r="H12" s="1"/>
    </row>
    <row r="13" spans="1:8">
      <c r="A13" s="3" t="s">
        <v>184</v>
      </c>
      <c r="B13" s="4"/>
      <c r="C13" s="1"/>
      <c r="D13" s="1"/>
      <c r="E13" s="1"/>
      <c r="F13" s="1"/>
      <c r="G13" s="1"/>
      <c r="H13" s="1"/>
    </row>
    <row r="14" spans="1:8" ht="28.9">
      <c r="A14" s="3" t="s">
        <v>185</v>
      </c>
      <c r="B14" s="4" t="s">
        <v>186</v>
      </c>
      <c r="C14" s="1"/>
      <c r="D14" s="1"/>
      <c r="E14" s="1"/>
      <c r="F14" s="1"/>
      <c r="G14" s="1"/>
      <c r="H14" s="1"/>
    </row>
    <row r="15" spans="1:8" ht="28.9">
      <c r="A15" s="3" t="s">
        <v>187</v>
      </c>
      <c r="B15" s="4" t="s">
        <v>186</v>
      </c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1.95" customHeight="1">
      <c r="A18" s="35" t="s">
        <v>188</v>
      </c>
      <c r="B18" s="34"/>
      <c r="C18" s="34"/>
      <c r="D18" s="34"/>
      <c r="E18" s="34"/>
      <c r="F18" s="34"/>
      <c r="G18" s="34"/>
      <c r="H18" s="34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2" t="s">
        <v>189</v>
      </c>
      <c r="B20" s="2" t="s">
        <v>190</v>
      </c>
      <c r="C20" s="2" t="s">
        <v>191</v>
      </c>
      <c r="D20" s="2" t="s">
        <v>192</v>
      </c>
      <c r="E20" s="2" t="s">
        <v>193</v>
      </c>
      <c r="F20" s="2" t="s">
        <v>115</v>
      </c>
      <c r="G20" s="1"/>
      <c r="H20" s="1"/>
    </row>
    <row r="21" spans="1:8" ht="28.9">
      <c r="A21" s="5" t="s">
        <v>194</v>
      </c>
      <c r="B21" s="4" t="s">
        <v>195</v>
      </c>
      <c r="C21" s="4"/>
      <c r="D21" s="4">
        <v>20</v>
      </c>
      <c r="E21" s="4">
        <f t="shared" ref="E21:E26" si="0">C21*D21</f>
        <v>0</v>
      </c>
      <c r="F21" s="4"/>
      <c r="G21" s="1"/>
      <c r="H21" s="1"/>
    </row>
    <row r="22" spans="1:8">
      <c r="A22" s="5" t="s">
        <v>196</v>
      </c>
      <c r="B22" s="4" t="s">
        <v>197</v>
      </c>
      <c r="C22" s="4"/>
      <c r="D22" s="4">
        <v>20</v>
      </c>
      <c r="E22" s="4">
        <f t="shared" si="0"/>
        <v>0</v>
      </c>
      <c r="F22" s="4"/>
      <c r="G22" s="1"/>
      <c r="H22" s="1"/>
    </row>
    <row r="23" spans="1:8">
      <c r="A23" s="5" t="s">
        <v>198</v>
      </c>
      <c r="B23" s="4" t="s">
        <v>199</v>
      </c>
      <c r="C23" s="4"/>
      <c r="D23" s="4">
        <v>15</v>
      </c>
      <c r="E23" s="4">
        <f t="shared" si="0"/>
        <v>0</v>
      </c>
      <c r="F23" s="4"/>
      <c r="G23" s="1"/>
      <c r="H23" s="1"/>
    </row>
    <row r="24" spans="1:8">
      <c r="A24" s="5" t="s">
        <v>200</v>
      </c>
      <c r="B24" s="4" t="s">
        <v>201</v>
      </c>
      <c r="C24" s="4"/>
      <c r="D24" s="4">
        <v>15</v>
      </c>
      <c r="E24" s="4">
        <f t="shared" si="0"/>
        <v>0</v>
      </c>
      <c r="F24" s="4"/>
      <c r="G24" s="1"/>
      <c r="H24" s="1"/>
    </row>
    <row r="25" spans="1:8">
      <c r="A25" s="5" t="s">
        <v>202</v>
      </c>
      <c r="B25" s="4" t="s">
        <v>203</v>
      </c>
      <c r="C25" s="4"/>
      <c r="D25" s="4">
        <v>15</v>
      </c>
      <c r="E25" s="4">
        <f t="shared" si="0"/>
        <v>0</v>
      </c>
      <c r="F25" s="4"/>
      <c r="G25" s="1"/>
      <c r="H25" s="1"/>
    </row>
    <row r="26" spans="1:8">
      <c r="A26" s="5" t="s">
        <v>204</v>
      </c>
      <c r="B26" s="4" t="s">
        <v>205</v>
      </c>
      <c r="C26" s="4"/>
      <c r="D26" s="4">
        <v>15</v>
      </c>
      <c r="E26" s="4">
        <f t="shared" si="0"/>
        <v>0</v>
      </c>
      <c r="F26" s="4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6" t="s">
        <v>206</v>
      </c>
      <c r="B28" s="7">
        <f>SUM(tblKIEignung[Score])/SUM(tblKIEignung[Gewichtung])</f>
        <v>0</v>
      </c>
      <c r="C28" s="1"/>
      <c r="D28" s="1"/>
      <c r="E28" s="1"/>
      <c r="F28" s="1"/>
      <c r="G28" s="1"/>
      <c r="H28" s="1"/>
    </row>
    <row r="29" spans="1:8">
      <c r="A29" s="6" t="s">
        <v>207</v>
      </c>
      <c r="B29" s="8" t="str">
        <f>IF(B28&gt;=4,"Sehr geeignet",IF(B28&gt;=3,"Geeignet mit Klärungen",IF(B28&gt;=2,"Eingeschränkt geeignet","Nicht geeignet")))</f>
        <v>Nicht geeignet</v>
      </c>
      <c r="C29" s="1"/>
      <c r="D29" s="1"/>
      <c r="E29" s="1"/>
      <c r="F29" s="1"/>
      <c r="G29" s="1"/>
      <c r="H29" s="1"/>
    </row>
  </sheetData>
  <mergeCells count="4">
    <mergeCell ref="A18:H18"/>
    <mergeCell ref="A4:H4"/>
    <mergeCell ref="A2:H2"/>
    <mergeCell ref="A1:H1"/>
  </mergeCells>
  <dataValidations count="1">
    <dataValidation type="whole" allowBlank="1" sqref="C21:C26" xr:uid="{00000000-0002-0000-0400-000000000000}">
      <formula1>1</formula1>
      <formula2>5</formula2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7"/>
  <sheetViews>
    <sheetView showGridLines="0" workbookViewId="0">
      <pane ySplit="19" topLeftCell="A20" activePane="bottomLeft" state="frozen"/>
      <selection pane="bottomLeft" sqref="A1:H1"/>
    </sheetView>
  </sheetViews>
  <sheetFormatPr defaultColWidth="9.140625" defaultRowHeight="14.45"/>
  <cols>
    <col min="1" max="1" width="28" customWidth="1"/>
    <col min="2" max="2" width="55" customWidth="1"/>
    <col min="3" max="3" width="16" customWidth="1"/>
    <col min="4" max="4" width="22" customWidth="1"/>
    <col min="5" max="5" width="30" customWidth="1"/>
    <col min="6" max="6" width="35" customWidth="1"/>
    <col min="7" max="8" width="26" customWidth="1"/>
    <col min="9" max="9" width="35" customWidth="1"/>
  </cols>
  <sheetData>
    <row r="1" spans="1:9" ht="32.1" customHeight="1">
      <c r="A1" s="38" t="s">
        <v>208</v>
      </c>
      <c r="B1" s="34"/>
      <c r="C1" s="34"/>
      <c r="D1" s="34"/>
      <c r="E1" s="34"/>
      <c r="F1" s="34"/>
      <c r="G1" s="34"/>
      <c r="H1" s="34"/>
      <c r="I1" s="1"/>
    </row>
    <row r="2" spans="1:9" ht="24" customHeight="1">
      <c r="A2" s="36" t="s">
        <v>209</v>
      </c>
      <c r="B2" s="34"/>
      <c r="C2" s="34"/>
      <c r="D2" s="34"/>
      <c r="E2" s="34"/>
      <c r="F2" s="34"/>
      <c r="G2" s="34"/>
      <c r="H2" s="34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21.95" customHeight="1">
      <c r="A4" s="35" t="s">
        <v>210</v>
      </c>
      <c r="B4" s="34"/>
      <c r="C4" s="34"/>
      <c r="D4" s="34"/>
      <c r="E4" s="34"/>
      <c r="F4" s="34"/>
      <c r="G4" s="34"/>
      <c r="H4" s="34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2" t="s">
        <v>211</v>
      </c>
      <c r="B6" s="2" t="s">
        <v>212</v>
      </c>
      <c r="C6" s="2" t="s">
        <v>213</v>
      </c>
      <c r="D6" s="2" t="s">
        <v>214</v>
      </c>
      <c r="E6" s="2" t="s">
        <v>215</v>
      </c>
      <c r="F6" s="2" t="s">
        <v>216</v>
      </c>
      <c r="G6" s="2" t="s">
        <v>217</v>
      </c>
      <c r="H6" s="2" t="s">
        <v>218</v>
      </c>
      <c r="I6" s="2" t="s">
        <v>115</v>
      </c>
    </row>
    <row r="7" spans="1:9">
      <c r="A7" s="5"/>
      <c r="B7" s="4"/>
      <c r="C7" s="4" t="s">
        <v>219</v>
      </c>
      <c r="D7" s="4" t="s">
        <v>219</v>
      </c>
      <c r="E7" s="4"/>
      <c r="F7" s="4"/>
      <c r="G7" s="4"/>
      <c r="H7" s="4"/>
      <c r="I7" s="4"/>
    </row>
    <row r="8" spans="1:9">
      <c r="A8" s="5"/>
      <c r="B8" s="4"/>
      <c r="C8" s="4" t="s">
        <v>219</v>
      </c>
      <c r="D8" s="4" t="s">
        <v>219</v>
      </c>
      <c r="E8" s="4"/>
      <c r="F8" s="4"/>
      <c r="G8" s="4"/>
      <c r="H8" s="4"/>
      <c r="I8" s="4"/>
    </row>
    <row r="9" spans="1:9">
      <c r="A9" s="5"/>
      <c r="B9" s="4"/>
      <c r="C9" s="4" t="s">
        <v>219</v>
      </c>
      <c r="D9" s="4" t="s">
        <v>219</v>
      </c>
      <c r="E9" s="4"/>
      <c r="F9" s="4"/>
      <c r="G9" s="4"/>
      <c r="H9" s="4"/>
      <c r="I9" s="4"/>
    </row>
    <row r="10" spans="1:9">
      <c r="A10" s="5"/>
      <c r="B10" s="4"/>
      <c r="C10" s="4" t="s">
        <v>219</v>
      </c>
      <c r="D10" s="4" t="s">
        <v>219</v>
      </c>
      <c r="E10" s="4"/>
      <c r="F10" s="4"/>
      <c r="G10" s="4"/>
      <c r="H10" s="4"/>
      <c r="I10" s="4"/>
    </row>
    <row r="11" spans="1:9">
      <c r="A11" s="5"/>
      <c r="B11" s="4"/>
      <c r="C11" s="4" t="s">
        <v>219</v>
      </c>
      <c r="D11" s="4" t="s">
        <v>219</v>
      </c>
      <c r="E11" s="4"/>
      <c r="F11" s="4"/>
      <c r="G11" s="4"/>
      <c r="H11" s="4"/>
      <c r="I11" s="4"/>
    </row>
    <row r="12" spans="1:9">
      <c r="A12" s="5"/>
      <c r="B12" s="4"/>
      <c r="C12" s="4" t="s">
        <v>219</v>
      </c>
      <c r="D12" s="4" t="s">
        <v>219</v>
      </c>
      <c r="E12" s="4"/>
      <c r="F12" s="4"/>
      <c r="G12" s="4"/>
      <c r="H12" s="4"/>
      <c r="I12" s="4"/>
    </row>
    <row r="13" spans="1:9">
      <c r="A13" s="5"/>
      <c r="B13" s="4"/>
      <c r="C13" s="4" t="s">
        <v>219</v>
      </c>
      <c r="D13" s="4" t="s">
        <v>219</v>
      </c>
      <c r="E13" s="4"/>
      <c r="F13" s="4"/>
      <c r="G13" s="4"/>
      <c r="H13" s="4"/>
      <c r="I13" s="4"/>
    </row>
    <row r="14" spans="1:9">
      <c r="A14" s="5"/>
      <c r="B14" s="4"/>
      <c r="C14" s="4" t="s">
        <v>219</v>
      </c>
      <c r="D14" s="4" t="s">
        <v>219</v>
      </c>
      <c r="E14" s="4"/>
      <c r="F14" s="4"/>
      <c r="G14" s="4"/>
      <c r="H14" s="4"/>
      <c r="I14" s="4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 ht="21.95" customHeight="1">
      <c r="A17" s="35" t="s">
        <v>220</v>
      </c>
      <c r="B17" s="34"/>
      <c r="C17" s="34"/>
      <c r="D17" s="34"/>
      <c r="E17" s="34"/>
      <c r="F17" s="34"/>
      <c r="G17" s="34"/>
      <c r="H17" s="34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2" t="s">
        <v>221</v>
      </c>
      <c r="B19" s="2" t="s">
        <v>190</v>
      </c>
      <c r="C19" s="2" t="s">
        <v>11</v>
      </c>
      <c r="D19" s="2" t="s">
        <v>168</v>
      </c>
      <c r="E19" s="2" t="s">
        <v>222</v>
      </c>
      <c r="F19" s="2" t="s">
        <v>115</v>
      </c>
      <c r="G19" s="1"/>
      <c r="H19" s="1"/>
      <c r="I19" s="1"/>
    </row>
    <row r="20" spans="1:9" ht="28.9">
      <c r="A20" s="5" t="s">
        <v>223</v>
      </c>
      <c r="B20" s="4" t="s">
        <v>224</v>
      </c>
      <c r="C20" s="4" t="s">
        <v>225</v>
      </c>
      <c r="D20" s="4"/>
      <c r="E20" s="4"/>
      <c r="F20" s="4"/>
      <c r="G20" s="1"/>
      <c r="H20" s="1"/>
      <c r="I20" s="1"/>
    </row>
    <row r="21" spans="1:9">
      <c r="A21" s="5" t="s">
        <v>226</v>
      </c>
      <c r="B21" s="4" t="s">
        <v>227</v>
      </c>
      <c r="C21" s="4" t="s">
        <v>225</v>
      </c>
      <c r="D21" s="4"/>
      <c r="E21" s="4"/>
      <c r="F21" s="4"/>
      <c r="G21" s="1"/>
      <c r="H21" s="1"/>
      <c r="I21" s="1"/>
    </row>
    <row r="22" spans="1:9">
      <c r="A22" s="5" t="s">
        <v>228</v>
      </c>
      <c r="B22" s="4" t="s">
        <v>229</v>
      </c>
      <c r="C22" s="4" t="s">
        <v>225</v>
      </c>
      <c r="D22" s="4"/>
      <c r="E22" s="4"/>
      <c r="F22" s="4"/>
      <c r="G22" s="1"/>
      <c r="H22" s="1"/>
      <c r="I22" s="1"/>
    </row>
    <row r="23" spans="1:9">
      <c r="A23" s="5" t="s">
        <v>230</v>
      </c>
      <c r="B23" s="4" t="s">
        <v>231</v>
      </c>
      <c r="C23" s="4" t="s">
        <v>225</v>
      </c>
      <c r="D23" s="4"/>
      <c r="E23" s="4"/>
      <c r="F23" s="4"/>
      <c r="G23" s="1"/>
      <c r="H23" s="1"/>
      <c r="I23" s="1"/>
    </row>
    <row r="24" spans="1:9" ht="28.9">
      <c r="A24" s="5" t="s">
        <v>232</v>
      </c>
      <c r="B24" s="4" t="s">
        <v>233</v>
      </c>
      <c r="C24" s="4" t="s">
        <v>225</v>
      </c>
      <c r="D24" s="4"/>
      <c r="E24" s="4"/>
      <c r="F24" s="4"/>
      <c r="G24" s="1"/>
      <c r="H24" s="1"/>
      <c r="I24" s="1"/>
    </row>
    <row r="25" spans="1:9">
      <c r="A25" s="5" t="s">
        <v>234</v>
      </c>
      <c r="B25" s="4" t="s">
        <v>235</v>
      </c>
      <c r="C25" s="4" t="s">
        <v>225</v>
      </c>
      <c r="D25" s="4"/>
      <c r="E25" s="4"/>
      <c r="F25" s="4"/>
      <c r="G25" s="1"/>
      <c r="H25" s="1"/>
      <c r="I25" s="1"/>
    </row>
    <row r="26" spans="1:9">
      <c r="A26" s="5" t="s">
        <v>236</v>
      </c>
      <c r="B26" s="4" t="s">
        <v>237</v>
      </c>
      <c r="C26" s="4" t="s">
        <v>225</v>
      </c>
      <c r="D26" s="4"/>
      <c r="E26" s="4"/>
      <c r="F26" s="4"/>
      <c r="G26" s="1"/>
      <c r="H26" s="1"/>
      <c r="I26" s="1"/>
    </row>
    <row r="27" spans="1:9" ht="28.9">
      <c r="A27" s="5" t="s">
        <v>238</v>
      </c>
      <c r="B27" s="4" t="s">
        <v>239</v>
      </c>
      <c r="C27" s="4" t="s">
        <v>225</v>
      </c>
      <c r="D27" s="4"/>
      <c r="E27" s="4"/>
      <c r="F27" s="4"/>
      <c r="G27" s="1"/>
      <c r="H27" s="1"/>
      <c r="I27" s="1"/>
    </row>
  </sheetData>
  <mergeCells count="4">
    <mergeCell ref="A4:H4"/>
    <mergeCell ref="A2:H2"/>
    <mergeCell ref="A17:H17"/>
    <mergeCell ref="A1:H1"/>
  </mergeCells>
  <dataValidations count="1">
    <dataValidation type="list" allowBlank="1" sqref="C20:C27" xr:uid="{00000000-0002-0000-0500-000000000000}">
      <formula1>"Offen,In Arbeit,Erledigt,Blockiert,Nicht relevant"</formula1>
    </dataValidation>
  </dataValidations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1"/>
  <sheetViews>
    <sheetView showGridLines="0" workbookViewId="0">
      <pane ySplit="6" topLeftCell="A7" activePane="bottomLeft" state="frozen"/>
      <selection pane="bottomLeft"/>
    </sheetView>
  </sheetViews>
  <sheetFormatPr defaultColWidth="9.140625" defaultRowHeight="14.45"/>
  <cols>
    <col min="1" max="1" width="35" customWidth="1"/>
    <col min="2" max="3" width="20" customWidth="1"/>
    <col min="4" max="5" width="24" customWidth="1"/>
    <col min="6" max="6" width="22" customWidth="1"/>
    <col min="7" max="7" width="24" customWidth="1"/>
    <col min="8" max="8" width="35" customWidth="1"/>
  </cols>
  <sheetData>
    <row r="1" spans="1:8" ht="32.1" customHeight="1">
      <c r="A1" s="38" t="s">
        <v>240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241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242</v>
      </c>
      <c r="B4" s="34"/>
      <c r="C4" s="34"/>
      <c r="D4" s="34"/>
      <c r="E4" s="34"/>
      <c r="F4" s="34"/>
      <c r="G4" s="34"/>
      <c r="H4" s="34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2" t="s">
        <v>243</v>
      </c>
      <c r="B6" s="2" t="s">
        <v>244</v>
      </c>
      <c r="C6" s="2" t="s">
        <v>245</v>
      </c>
      <c r="D6" s="2" t="s">
        <v>246</v>
      </c>
      <c r="E6" s="2" t="s">
        <v>226</v>
      </c>
      <c r="F6" s="2" t="s">
        <v>247</v>
      </c>
      <c r="G6" s="2" t="s">
        <v>248</v>
      </c>
      <c r="H6" s="2" t="s">
        <v>115</v>
      </c>
    </row>
    <row r="7" spans="1:8">
      <c r="A7" s="5" t="s">
        <v>249</v>
      </c>
      <c r="B7" s="4" t="s">
        <v>250</v>
      </c>
      <c r="C7" s="4" t="s">
        <v>251</v>
      </c>
      <c r="D7" s="4" t="s">
        <v>251</v>
      </c>
      <c r="E7" s="4" t="s">
        <v>251</v>
      </c>
      <c r="F7" s="4" t="s">
        <v>252</v>
      </c>
      <c r="G7" s="4" t="s">
        <v>253</v>
      </c>
      <c r="H7" s="4"/>
    </row>
    <row r="8" spans="1:8">
      <c r="A8" s="5" t="s">
        <v>254</v>
      </c>
      <c r="B8" s="4" t="s">
        <v>250</v>
      </c>
      <c r="C8" s="4" t="s">
        <v>251</v>
      </c>
      <c r="D8" s="4" t="s">
        <v>251</v>
      </c>
      <c r="E8" s="4" t="s">
        <v>251</v>
      </c>
      <c r="F8" s="4" t="s">
        <v>252</v>
      </c>
      <c r="G8" s="4" t="s">
        <v>253</v>
      </c>
      <c r="H8" s="4"/>
    </row>
    <row r="9" spans="1:8">
      <c r="A9" s="5" t="s">
        <v>255</v>
      </c>
      <c r="B9" s="4" t="s">
        <v>251</v>
      </c>
      <c r="C9" s="4" t="s">
        <v>250</v>
      </c>
      <c r="D9" s="4" t="s">
        <v>251</v>
      </c>
      <c r="E9" s="4" t="s">
        <v>251</v>
      </c>
      <c r="F9" s="4" t="s">
        <v>252</v>
      </c>
      <c r="G9" s="4" t="s">
        <v>253</v>
      </c>
      <c r="H9" s="4"/>
    </row>
    <row r="10" spans="1:8">
      <c r="A10" s="5" t="s">
        <v>256</v>
      </c>
      <c r="B10" s="4" t="s">
        <v>252</v>
      </c>
      <c r="C10" s="4" t="s">
        <v>252</v>
      </c>
      <c r="D10" s="4" t="s">
        <v>257</v>
      </c>
      <c r="E10" s="4" t="s">
        <v>257</v>
      </c>
      <c r="F10" s="4" t="s">
        <v>252</v>
      </c>
      <c r="G10" s="4" t="s">
        <v>253</v>
      </c>
      <c r="H10" s="4"/>
    </row>
    <row r="11" spans="1:8">
      <c r="A11" s="5" t="s">
        <v>258</v>
      </c>
      <c r="B11" s="4" t="s">
        <v>252</v>
      </c>
      <c r="C11" s="4" t="s">
        <v>251</v>
      </c>
      <c r="D11" s="4" t="s">
        <v>250</v>
      </c>
      <c r="E11" s="4" t="s">
        <v>251</v>
      </c>
      <c r="F11" s="4" t="s">
        <v>252</v>
      </c>
      <c r="G11" s="4" t="s">
        <v>253</v>
      </c>
      <c r="H11" s="4"/>
    </row>
    <row r="12" spans="1:8">
      <c r="A12" s="5" t="s">
        <v>259</v>
      </c>
      <c r="B12" s="4" t="s">
        <v>250</v>
      </c>
      <c r="C12" s="4" t="s">
        <v>252</v>
      </c>
      <c r="D12" s="4" t="s">
        <v>251</v>
      </c>
      <c r="E12" s="4" t="s">
        <v>251</v>
      </c>
      <c r="F12" s="4" t="s">
        <v>252</v>
      </c>
      <c r="G12" s="4" t="s">
        <v>253</v>
      </c>
      <c r="H12" s="4"/>
    </row>
    <row r="13" spans="1:8">
      <c r="A13" s="5" t="s">
        <v>260</v>
      </c>
      <c r="B13" s="4" t="s">
        <v>251</v>
      </c>
      <c r="C13" s="4" t="s">
        <v>251</v>
      </c>
      <c r="D13" s="4" t="s">
        <v>251</v>
      </c>
      <c r="E13" s="4" t="s">
        <v>251</v>
      </c>
      <c r="F13" s="4" t="s">
        <v>252</v>
      </c>
      <c r="G13" s="4" t="s">
        <v>261</v>
      </c>
      <c r="H13" s="4"/>
    </row>
    <row r="14" spans="1:8">
      <c r="A14" s="5" t="s">
        <v>262</v>
      </c>
      <c r="B14" s="4" t="s">
        <v>252</v>
      </c>
      <c r="C14" s="4" t="s">
        <v>250</v>
      </c>
      <c r="D14" s="4" t="s">
        <v>251</v>
      </c>
      <c r="E14" s="4" t="s">
        <v>251</v>
      </c>
      <c r="F14" s="4" t="s">
        <v>252</v>
      </c>
      <c r="G14" s="4" t="s">
        <v>253</v>
      </c>
      <c r="H14" s="4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 ht="21.95" customHeight="1">
      <c r="A17" s="35" t="s">
        <v>263</v>
      </c>
      <c r="B17" s="34"/>
      <c r="C17" s="34"/>
      <c r="D17" s="34"/>
      <c r="E17" s="34"/>
      <c r="F17" s="34"/>
      <c r="G17" s="34"/>
      <c r="H17" s="34"/>
    </row>
    <row r="18" spans="1:8">
      <c r="A18" s="43" t="s">
        <v>264</v>
      </c>
      <c r="B18" s="34"/>
      <c r="C18" s="34"/>
      <c r="D18" s="34"/>
      <c r="E18" s="34"/>
      <c r="F18" s="34"/>
      <c r="G18" s="34"/>
      <c r="H18" s="34"/>
    </row>
    <row r="19" spans="1:8">
      <c r="A19" s="43" t="s">
        <v>265</v>
      </c>
      <c r="B19" s="34"/>
      <c r="C19" s="34"/>
      <c r="D19" s="34"/>
      <c r="E19" s="34"/>
      <c r="F19" s="34"/>
      <c r="G19" s="34"/>
      <c r="H19" s="34"/>
    </row>
    <row r="20" spans="1:8">
      <c r="A20" s="43" t="s">
        <v>266</v>
      </c>
      <c r="B20" s="34"/>
      <c r="C20" s="34"/>
      <c r="D20" s="34"/>
      <c r="E20" s="34"/>
      <c r="F20" s="34"/>
      <c r="G20" s="34"/>
      <c r="H20" s="34"/>
    </row>
    <row r="21" spans="1:8">
      <c r="A21" s="43" t="s">
        <v>267</v>
      </c>
      <c r="B21" s="34"/>
      <c r="C21" s="34"/>
      <c r="D21" s="34"/>
      <c r="E21" s="34"/>
      <c r="F21" s="34"/>
      <c r="G21" s="34"/>
      <c r="H21" s="34"/>
    </row>
  </sheetData>
  <mergeCells count="8">
    <mergeCell ref="A1:H1"/>
    <mergeCell ref="A17:H17"/>
    <mergeCell ref="A18:H18"/>
    <mergeCell ref="A4:H4"/>
    <mergeCell ref="A21:H21"/>
    <mergeCell ref="A20:H20"/>
    <mergeCell ref="A2:H2"/>
    <mergeCell ref="A19:H19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13"/>
  <sheetViews>
    <sheetView showGridLines="0" workbookViewId="0">
      <pane ySplit="4" topLeftCell="A5" activePane="bottomLeft" state="frozen"/>
      <selection pane="bottomLeft"/>
    </sheetView>
  </sheetViews>
  <sheetFormatPr defaultColWidth="9.140625" defaultRowHeight="14.45"/>
  <cols>
    <col min="1" max="1" width="22" customWidth="1"/>
    <col min="2" max="2" width="30" customWidth="1"/>
    <col min="3" max="3" width="44" customWidth="1"/>
    <col min="4" max="4" width="24" customWidth="1"/>
    <col min="5" max="6" width="14" customWidth="1"/>
    <col min="7" max="7" width="16" customWidth="1"/>
    <col min="8" max="8" width="28" customWidth="1"/>
    <col min="9" max="9" width="35" customWidth="1"/>
  </cols>
  <sheetData>
    <row r="1" spans="1:9" ht="32.1" customHeight="1">
      <c r="A1" s="38" t="s">
        <v>268</v>
      </c>
      <c r="B1" s="34"/>
      <c r="C1" s="34"/>
      <c r="D1" s="34"/>
      <c r="E1" s="34"/>
      <c r="F1" s="34"/>
      <c r="G1" s="34"/>
      <c r="H1" s="34"/>
      <c r="I1" s="1"/>
    </row>
    <row r="2" spans="1:9" ht="24" customHeight="1">
      <c r="A2" s="36" t="s">
        <v>269</v>
      </c>
      <c r="B2" s="34"/>
      <c r="C2" s="34"/>
      <c r="D2" s="34"/>
      <c r="E2" s="34"/>
      <c r="F2" s="34"/>
      <c r="G2" s="34"/>
      <c r="H2" s="34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2" t="s">
        <v>270</v>
      </c>
      <c r="B4" s="2" t="s">
        <v>271</v>
      </c>
      <c r="C4" s="2" t="s">
        <v>272</v>
      </c>
      <c r="D4" s="2" t="s">
        <v>168</v>
      </c>
      <c r="E4" s="2" t="s">
        <v>273</v>
      </c>
      <c r="F4" s="2" t="s">
        <v>274</v>
      </c>
      <c r="G4" s="2" t="s">
        <v>11</v>
      </c>
      <c r="H4" s="2" t="s">
        <v>275</v>
      </c>
      <c r="I4" s="2" t="s">
        <v>115</v>
      </c>
    </row>
    <row r="5" spans="1:9">
      <c r="A5" s="5" t="s">
        <v>276</v>
      </c>
      <c r="B5" s="4" t="s">
        <v>277</v>
      </c>
      <c r="C5" s="4" t="s">
        <v>278</v>
      </c>
      <c r="D5" s="4"/>
      <c r="E5" s="4"/>
      <c r="F5" s="4"/>
      <c r="G5" s="4" t="s">
        <v>225</v>
      </c>
      <c r="H5" s="4"/>
      <c r="I5" s="4"/>
    </row>
    <row r="6" spans="1:9" ht="28.9">
      <c r="A6" s="5" t="s">
        <v>279</v>
      </c>
      <c r="B6" s="4" t="s">
        <v>280</v>
      </c>
      <c r="C6" s="4" t="s">
        <v>281</v>
      </c>
      <c r="D6" s="4"/>
      <c r="E6" s="4"/>
      <c r="F6" s="4"/>
      <c r="G6" s="4" t="s">
        <v>225</v>
      </c>
      <c r="H6" s="4"/>
      <c r="I6" s="4"/>
    </row>
    <row r="7" spans="1:9" ht="28.9">
      <c r="A7" s="5" t="s">
        <v>30</v>
      </c>
      <c r="B7" s="4" t="s">
        <v>282</v>
      </c>
      <c r="C7" s="4" t="s">
        <v>283</v>
      </c>
      <c r="D7" s="4"/>
      <c r="E7" s="4"/>
      <c r="F7" s="4"/>
      <c r="G7" s="4" t="s">
        <v>225</v>
      </c>
      <c r="H7" s="4"/>
      <c r="I7" s="4"/>
    </row>
    <row r="8" spans="1:9" ht="28.9">
      <c r="A8" s="5" t="s">
        <v>284</v>
      </c>
      <c r="B8" s="4" t="s">
        <v>285</v>
      </c>
      <c r="C8" s="4" t="s">
        <v>286</v>
      </c>
      <c r="D8" s="4"/>
      <c r="E8" s="4"/>
      <c r="F8" s="4"/>
      <c r="G8" s="4" t="s">
        <v>225</v>
      </c>
      <c r="H8" s="4"/>
      <c r="I8" s="4"/>
    </row>
    <row r="9" spans="1:9">
      <c r="A9" s="5" t="s">
        <v>287</v>
      </c>
      <c r="B9" s="4" t="s">
        <v>288</v>
      </c>
      <c r="C9" s="4" t="s">
        <v>289</v>
      </c>
      <c r="D9" s="4"/>
      <c r="E9" s="4"/>
      <c r="F9" s="4"/>
      <c r="G9" s="4" t="s">
        <v>225</v>
      </c>
      <c r="H9" s="4"/>
      <c r="I9" s="4"/>
    </row>
    <row r="10" spans="1:9">
      <c r="A10" s="5" t="s">
        <v>290</v>
      </c>
      <c r="B10" s="4" t="s">
        <v>291</v>
      </c>
      <c r="C10" s="4" t="s">
        <v>292</v>
      </c>
      <c r="D10" s="4"/>
      <c r="E10" s="4"/>
      <c r="F10" s="4"/>
      <c r="G10" s="4" t="s">
        <v>225</v>
      </c>
      <c r="H10" s="4"/>
      <c r="I10" s="4"/>
    </row>
    <row r="11" spans="1:9">
      <c r="A11" s="5" t="s">
        <v>293</v>
      </c>
      <c r="B11" s="4" t="s">
        <v>294</v>
      </c>
      <c r="C11" s="4" t="s">
        <v>295</v>
      </c>
      <c r="D11" s="4"/>
      <c r="E11" s="4"/>
      <c r="F11" s="4"/>
      <c r="G11" s="4" t="s">
        <v>225</v>
      </c>
      <c r="H11" s="4"/>
      <c r="I11" s="4"/>
    </row>
    <row r="12" spans="1:9">
      <c r="A12" s="5" t="s">
        <v>296</v>
      </c>
      <c r="B12" s="4" t="s">
        <v>297</v>
      </c>
      <c r="C12" s="4" t="s">
        <v>298</v>
      </c>
      <c r="D12" s="4"/>
      <c r="E12" s="4"/>
      <c r="F12" s="4"/>
      <c r="G12" s="4" t="s">
        <v>225</v>
      </c>
      <c r="H12" s="4"/>
      <c r="I12" s="4"/>
    </row>
    <row r="13" spans="1:9" ht="28.9">
      <c r="A13" s="5" t="s">
        <v>299</v>
      </c>
      <c r="B13" s="4" t="s">
        <v>300</v>
      </c>
      <c r="C13" s="4" t="s">
        <v>301</v>
      </c>
      <c r="D13" s="4"/>
      <c r="E13" s="4"/>
      <c r="F13" s="4"/>
      <c r="G13" s="4" t="s">
        <v>225</v>
      </c>
      <c r="H13" s="4"/>
      <c r="I13" s="4"/>
    </row>
  </sheetData>
  <mergeCells count="2">
    <mergeCell ref="A2:H2"/>
    <mergeCell ref="A1:H1"/>
  </mergeCells>
  <dataValidations count="1">
    <dataValidation type="list" allowBlank="1" sqref="G5:G13" xr:uid="{00000000-0002-0000-0800-000000000000}">
      <formula1>"Offen,In Arbeit,Erledigt,Blockiert,Nicht relevant"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29"/>
  <sheetViews>
    <sheetView showGridLines="0" workbookViewId="0">
      <pane ySplit="21" topLeftCell="A22" activePane="bottomLeft" state="frozen"/>
      <selection pane="bottomLeft"/>
    </sheetView>
  </sheetViews>
  <sheetFormatPr defaultColWidth="9.140625" defaultRowHeight="14.45"/>
  <cols>
    <col min="1" max="1" width="10" customWidth="1"/>
    <col min="2" max="2" width="18" customWidth="1"/>
    <col min="3" max="3" width="42" customWidth="1"/>
    <col min="4" max="5" width="30" customWidth="1"/>
    <col min="6" max="6" width="24" customWidth="1"/>
    <col min="7" max="8" width="16" customWidth="1"/>
    <col min="9" max="9" width="35" customWidth="1"/>
    <col min="10" max="10" width="16" customWidth="1"/>
  </cols>
  <sheetData>
    <row r="1" spans="1:10" ht="32.1" customHeight="1">
      <c r="A1" s="38" t="s">
        <v>302</v>
      </c>
      <c r="B1" s="34"/>
      <c r="C1" s="34"/>
      <c r="D1" s="34"/>
      <c r="E1" s="34"/>
      <c r="F1" s="34"/>
      <c r="G1" s="34"/>
      <c r="H1" s="34"/>
      <c r="I1" s="1"/>
      <c r="J1" s="1"/>
    </row>
    <row r="2" spans="1:10" ht="24" customHeight="1">
      <c r="A2" s="36" t="s">
        <v>303</v>
      </c>
      <c r="B2" s="34"/>
      <c r="C2" s="34"/>
      <c r="D2" s="34"/>
      <c r="E2" s="34"/>
      <c r="F2" s="34"/>
      <c r="G2" s="34"/>
      <c r="H2" s="34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1.95" customHeight="1">
      <c r="A4" s="35" t="s">
        <v>304</v>
      </c>
      <c r="B4" s="34"/>
      <c r="C4" s="34"/>
      <c r="D4" s="34"/>
      <c r="E4" s="34"/>
      <c r="F4" s="34"/>
      <c r="G4" s="34"/>
      <c r="H4" s="34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2" t="s">
        <v>69</v>
      </c>
      <c r="B6" s="2" t="s">
        <v>305</v>
      </c>
      <c r="C6" s="2" t="s">
        <v>306</v>
      </c>
      <c r="D6" s="2" t="s">
        <v>307</v>
      </c>
      <c r="E6" s="2" t="s">
        <v>308</v>
      </c>
      <c r="F6" s="2" t="s">
        <v>309</v>
      </c>
      <c r="G6" s="2" t="s">
        <v>193</v>
      </c>
      <c r="H6" s="2" t="s">
        <v>310</v>
      </c>
      <c r="I6" s="2" t="s">
        <v>311</v>
      </c>
      <c r="J6" s="2" t="s">
        <v>11</v>
      </c>
    </row>
    <row r="7" spans="1:10">
      <c r="A7" s="5" t="s">
        <v>312</v>
      </c>
      <c r="B7" s="4"/>
      <c r="C7" s="4"/>
      <c r="D7" s="4"/>
      <c r="E7" s="4"/>
      <c r="F7" s="4"/>
      <c r="G7" s="4">
        <f t="shared" ref="G7:G16" si="0">E7*F7</f>
        <v>0</v>
      </c>
      <c r="H7" s="4"/>
      <c r="I7" s="4"/>
      <c r="J7" s="4" t="s">
        <v>225</v>
      </c>
    </row>
    <row r="8" spans="1:10">
      <c r="A8" s="5" t="s">
        <v>313</v>
      </c>
      <c r="B8" s="4"/>
      <c r="C8" s="4"/>
      <c r="D8" s="4"/>
      <c r="E8" s="4"/>
      <c r="F8" s="4"/>
      <c r="G8" s="4">
        <f t="shared" si="0"/>
        <v>0</v>
      </c>
      <c r="H8" s="4"/>
      <c r="I8" s="4"/>
      <c r="J8" s="4" t="s">
        <v>225</v>
      </c>
    </row>
    <row r="9" spans="1:10">
      <c r="A9" s="5" t="s">
        <v>314</v>
      </c>
      <c r="B9" s="4"/>
      <c r="C9" s="4"/>
      <c r="D9" s="4"/>
      <c r="E9" s="4"/>
      <c r="F9" s="4"/>
      <c r="G9" s="4">
        <f t="shared" si="0"/>
        <v>0</v>
      </c>
      <c r="H9" s="4"/>
      <c r="I9" s="4"/>
      <c r="J9" s="4" t="s">
        <v>225</v>
      </c>
    </row>
    <row r="10" spans="1:10">
      <c r="A10" s="5" t="s">
        <v>315</v>
      </c>
      <c r="B10" s="4"/>
      <c r="C10" s="4"/>
      <c r="D10" s="4"/>
      <c r="E10" s="4"/>
      <c r="F10" s="4"/>
      <c r="G10" s="4">
        <f t="shared" si="0"/>
        <v>0</v>
      </c>
      <c r="H10" s="4"/>
      <c r="I10" s="4"/>
      <c r="J10" s="4" t="s">
        <v>225</v>
      </c>
    </row>
    <row r="11" spans="1:10">
      <c r="A11" s="5" t="s">
        <v>316</v>
      </c>
      <c r="B11" s="4"/>
      <c r="C11" s="4"/>
      <c r="D11" s="4"/>
      <c r="E11" s="4"/>
      <c r="F11" s="4"/>
      <c r="G11" s="4">
        <f t="shared" si="0"/>
        <v>0</v>
      </c>
      <c r="H11" s="4"/>
      <c r="I11" s="4"/>
      <c r="J11" s="4" t="s">
        <v>225</v>
      </c>
    </row>
    <row r="12" spans="1:10">
      <c r="A12" s="5" t="s">
        <v>317</v>
      </c>
      <c r="B12" s="4"/>
      <c r="C12" s="4"/>
      <c r="D12" s="4"/>
      <c r="E12" s="4"/>
      <c r="F12" s="4"/>
      <c r="G12" s="4">
        <f t="shared" si="0"/>
        <v>0</v>
      </c>
      <c r="H12" s="4"/>
      <c r="I12" s="4"/>
      <c r="J12" s="4" t="s">
        <v>225</v>
      </c>
    </row>
    <row r="13" spans="1:10">
      <c r="A13" s="5" t="s">
        <v>318</v>
      </c>
      <c r="B13" s="4"/>
      <c r="C13" s="4"/>
      <c r="D13" s="4"/>
      <c r="E13" s="4"/>
      <c r="F13" s="4"/>
      <c r="G13" s="4">
        <f t="shared" si="0"/>
        <v>0</v>
      </c>
      <c r="H13" s="4"/>
      <c r="I13" s="4"/>
      <c r="J13" s="4" t="s">
        <v>225</v>
      </c>
    </row>
    <row r="14" spans="1:10">
      <c r="A14" s="5" t="s">
        <v>319</v>
      </c>
      <c r="B14" s="4"/>
      <c r="C14" s="4"/>
      <c r="D14" s="4"/>
      <c r="E14" s="4"/>
      <c r="F14" s="4"/>
      <c r="G14" s="4">
        <f t="shared" si="0"/>
        <v>0</v>
      </c>
      <c r="H14" s="4"/>
      <c r="I14" s="4"/>
      <c r="J14" s="4" t="s">
        <v>225</v>
      </c>
    </row>
    <row r="15" spans="1:10">
      <c r="A15" s="5" t="s">
        <v>320</v>
      </c>
      <c r="B15" s="4"/>
      <c r="C15" s="4"/>
      <c r="D15" s="4"/>
      <c r="E15" s="4"/>
      <c r="F15" s="4"/>
      <c r="G15" s="4">
        <f t="shared" si="0"/>
        <v>0</v>
      </c>
      <c r="H15" s="4"/>
      <c r="I15" s="4"/>
      <c r="J15" s="4" t="s">
        <v>225</v>
      </c>
    </row>
    <row r="16" spans="1:10">
      <c r="A16" s="5" t="s">
        <v>321</v>
      </c>
      <c r="B16" s="4"/>
      <c r="C16" s="4"/>
      <c r="D16" s="4"/>
      <c r="E16" s="4"/>
      <c r="F16" s="4"/>
      <c r="G16" s="4">
        <f t="shared" si="0"/>
        <v>0</v>
      </c>
      <c r="H16" s="4"/>
      <c r="I16" s="4"/>
      <c r="J16" s="4" t="s">
        <v>225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1.95" customHeight="1">
      <c r="A19" s="35" t="s">
        <v>322</v>
      </c>
      <c r="B19" s="34"/>
      <c r="C19" s="34"/>
      <c r="D19" s="34"/>
      <c r="E19" s="34"/>
      <c r="F19" s="34"/>
      <c r="G19" s="34"/>
      <c r="H19" s="34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2" t="s">
        <v>69</v>
      </c>
      <c r="B21" s="2" t="s">
        <v>323</v>
      </c>
      <c r="C21" s="2" t="s">
        <v>324</v>
      </c>
      <c r="D21" s="2" t="s">
        <v>325</v>
      </c>
      <c r="E21" s="2" t="s">
        <v>326</v>
      </c>
      <c r="F21" s="2" t="s">
        <v>327</v>
      </c>
      <c r="G21" s="2" t="s">
        <v>328</v>
      </c>
      <c r="H21" s="2" t="s">
        <v>11</v>
      </c>
      <c r="I21" s="2" t="s">
        <v>115</v>
      </c>
      <c r="J21" s="1"/>
    </row>
    <row r="22" spans="1:10">
      <c r="A22" s="5" t="s">
        <v>329</v>
      </c>
      <c r="B22" s="4"/>
      <c r="C22" s="4"/>
      <c r="D22" s="4"/>
      <c r="E22" s="4"/>
      <c r="F22" s="4"/>
      <c r="G22" s="4"/>
      <c r="H22" s="4" t="s">
        <v>225</v>
      </c>
      <c r="I22" s="4"/>
      <c r="J22" s="1"/>
    </row>
    <row r="23" spans="1:10">
      <c r="A23" s="5" t="s">
        <v>330</v>
      </c>
      <c r="B23" s="4"/>
      <c r="C23" s="4"/>
      <c r="D23" s="4"/>
      <c r="E23" s="4"/>
      <c r="F23" s="4"/>
      <c r="G23" s="4"/>
      <c r="H23" s="4" t="s">
        <v>225</v>
      </c>
      <c r="I23" s="4"/>
      <c r="J23" s="1"/>
    </row>
    <row r="24" spans="1:10">
      <c r="A24" s="5" t="s">
        <v>331</v>
      </c>
      <c r="B24" s="4"/>
      <c r="C24" s="4"/>
      <c r="D24" s="4"/>
      <c r="E24" s="4"/>
      <c r="F24" s="4"/>
      <c r="G24" s="4"/>
      <c r="H24" s="4" t="s">
        <v>225</v>
      </c>
      <c r="I24" s="4"/>
      <c r="J24" s="1"/>
    </row>
    <row r="25" spans="1:10">
      <c r="A25" s="5" t="s">
        <v>332</v>
      </c>
      <c r="B25" s="4"/>
      <c r="C25" s="4"/>
      <c r="D25" s="4"/>
      <c r="E25" s="4"/>
      <c r="F25" s="4"/>
      <c r="G25" s="4"/>
      <c r="H25" s="4" t="s">
        <v>225</v>
      </c>
      <c r="I25" s="4"/>
      <c r="J25" s="1"/>
    </row>
    <row r="26" spans="1:10">
      <c r="A26" s="5" t="s">
        <v>333</v>
      </c>
      <c r="B26" s="4"/>
      <c r="C26" s="4"/>
      <c r="D26" s="4"/>
      <c r="E26" s="4"/>
      <c r="F26" s="4"/>
      <c r="G26" s="4"/>
      <c r="H26" s="4" t="s">
        <v>225</v>
      </c>
      <c r="I26" s="4"/>
      <c r="J26" s="1"/>
    </row>
    <row r="27" spans="1:10">
      <c r="A27" s="5" t="s">
        <v>334</v>
      </c>
      <c r="B27" s="4"/>
      <c r="C27" s="4"/>
      <c r="D27" s="4"/>
      <c r="E27" s="4"/>
      <c r="F27" s="4"/>
      <c r="G27" s="4"/>
      <c r="H27" s="4" t="s">
        <v>225</v>
      </c>
      <c r="I27" s="4"/>
      <c r="J27" s="1"/>
    </row>
    <row r="28" spans="1:10">
      <c r="A28" s="5" t="s">
        <v>335</v>
      </c>
      <c r="B28" s="4"/>
      <c r="C28" s="4"/>
      <c r="D28" s="4"/>
      <c r="E28" s="4"/>
      <c r="F28" s="4"/>
      <c r="G28" s="4"/>
      <c r="H28" s="4" t="s">
        <v>225</v>
      </c>
      <c r="I28" s="4"/>
      <c r="J28" s="1"/>
    </row>
    <row r="29" spans="1:10">
      <c r="A29" s="5" t="s">
        <v>336</v>
      </c>
      <c r="B29" s="4"/>
      <c r="C29" s="4"/>
      <c r="D29" s="4"/>
      <c r="E29" s="4"/>
      <c r="F29" s="4"/>
      <c r="G29" s="4"/>
      <c r="H29" s="4" t="s">
        <v>225</v>
      </c>
      <c r="I29" s="4"/>
      <c r="J29" s="1"/>
    </row>
  </sheetData>
  <mergeCells count="4">
    <mergeCell ref="A4:H4"/>
    <mergeCell ref="A19:H19"/>
    <mergeCell ref="A2:H2"/>
    <mergeCell ref="A1:H1"/>
  </mergeCells>
  <conditionalFormatting sqref="G7:G16">
    <cfRule type="cellIs" dxfId="1" priority="1" operator="greaterThanOrEqual">
      <formula>15</formula>
    </cfRule>
    <cfRule type="cellIs" dxfId="0" priority="2" operator="between">
      <formula>8</formula>
      <formula>14</formula>
    </cfRule>
  </conditionalFormatting>
  <dataValidations count="2">
    <dataValidation type="whole" allowBlank="1" sqref="E7:F16" xr:uid="{00000000-0002-0000-0900-000000000000}">
      <formula1>1</formula1>
      <formula2>5</formula2>
    </dataValidation>
    <dataValidation type="list" allowBlank="1" sqref="H22:H29 J7:J16" xr:uid="{00000000-0002-0000-0900-000001000000}">
      <formula1>"Offen,In Arbeit,Erledigt,Blockiert,Nicht relevant"</formula1>
    </dataValidation>
  </dataValidations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1"/>
  <sheetViews>
    <sheetView showGridLines="0" workbookViewId="0">
      <pane ySplit="21" topLeftCell="A22" activePane="bottomLeft" state="frozen"/>
      <selection pane="bottomLeft"/>
    </sheetView>
  </sheetViews>
  <sheetFormatPr defaultColWidth="9.140625" defaultRowHeight="14.45"/>
  <cols>
    <col min="1" max="1" width="12" customWidth="1"/>
    <col min="2" max="2" width="28" customWidth="1"/>
    <col min="3" max="5" width="35" customWidth="1"/>
    <col min="6" max="6" width="18" customWidth="1"/>
    <col min="7" max="7" width="16" customWidth="1"/>
    <col min="8" max="8" width="35" customWidth="1"/>
  </cols>
  <sheetData>
    <row r="1" spans="1:8" ht="32.1" customHeight="1">
      <c r="A1" s="38" t="s">
        <v>337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338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259</v>
      </c>
      <c r="B4" s="34"/>
      <c r="C4" s="34"/>
      <c r="D4" s="34"/>
      <c r="E4" s="34"/>
      <c r="F4" s="34"/>
      <c r="G4" s="34"/>
      <c r="H4" s="34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2" t="s">
        <v>59</v>
      </c>
      <c r="B6" s="2" t="s">
        <v>189</v>
      </c>
      <c r="C6" s="2" t="s">
        <v>339</v>
      </c>
      <c r="D6" s="2" t="s">
        <v>340</v>
      </c>
      <c r="E6" s="2" t="s">
        <v>341</v>
      </c>
      <c r="F6" s="2" t="s">
        <v>168</v>
      </c>
      <c r="G6" s="2" t="s">
        <v>11</v>
      </c>
      <c r="H6" s="2" t="s">
        <v>115</v>
      </c>
    </row>
    <row r="7" spans="1:8">
      <c r="A7" s="5">
        <v>1</v>
      </c>
      <c r="B7" s="4"/>
      <c r="C7" s="4" t="s">
        <v>342</v>
      </c>
      <c r="D7" s="4"/>
      <c r="E7" s="4"/>
      <c r="F7" s="4"/>
      <c r="G7" s="4" t="s">
        <v>225</v>
      </c>
      <c r="H7" s="4"/>
    </row>
    <row r="8" spans="1:8">
      <c r="A8" s="5">
        <v>2</v>
      </c>
      <c r="B8" s="4"/>
      <c r="C8" s="4" t="s">
        <v>342</v>
      </c>
      <c r="D8" s="4"/>
      <c r="E8" s="4"/>
      <c r="F8" s="4"/>
      <c r="G8" s="4" t="s">
        <v>225</v>
      </c>
      <c r="H8" s="4"/>
    </row>
    <row r="9" spans="1:8">
      <c r="A9" s="5">
        <v>3</v>
      </c>
      <c r="B9" s="4"/>
      <c r="C9" s="4" t="s">
        <v>342</v>
      </c>
      <c r="D9" s="4"/>
      <c r="E9" s="4"/>
      <c r="F9" s="4"/>
      <c r="G9" s="4" t="s">
        <v>225</v>
      </c>
      <c r="H9" s="4"/>
    </row>
    <row r="10" spans="1:8">
      <c r="A10" s="5">
        <v>4</v>
      </c>
      <c r="B10" s="4"/>
      <c r="C10" s="4" t="s">
        <v>342</v>
      </c>
      <c r="D10" s="4"/>
      <c r="E10" s="4"/>
      <c r="F10" s="4"/>
      <c r="G10" s="4" t="s">
        <v>225</v>
      </c>
      <c r="H10" s="4"/>
    </row>
    <row r="11" spans="1:8">
      <c r="A11" s="5">
        <v>5</v>
      </c>
      <c r="B11" s="4"/>
      <c r="C11" s="4" t="s">
        <v>342</v>
      </c>
      <c r="D11" s="4"/>
      <c r="E11" s="4"/>
      <c r="F11" s="4"/>
      <c r="G11" s="4" t="s">
        <v>225</v>
      </c>
      <c r="H11" s="4"/>
    </row>
    <row r="12" spans="1:8">
      <c r="A12" s="5">
        <v>6</v>
      </c>
      <c r="B12" s="4"/>
      <c r="C12" s="4" t="s">
        <v>342</v>
      </c>
      <c r="D12" s="4"/>
      <c r="E12" s="4"/>
      <c r="F12" s="4"/>
      <c r="G12" s="4" t="s">
        <v>225</v>
      </c>
      <c r="H12" s="4"/>
    </row>
    <row r="13" spans="1:8">
      <c r="A13" s="5">
        <v>7</v>
      </c>
      <c r="B13" s="4"/>
      <c r="C13" s="4" t="s">
        <v>342</v>
      </c>
      <c r="D13" s="4"/>
      <c r="E13" s="4"/>
      <c r="F13" s="4"/>
      <c r="G13" s="4" t="s">
        <v>225</v>
      </c>
      <c r="H13" s="4"/>
    </row>
    <row r="14" spans="1:8">
      <c r="A14" s="5">
        <v>8</v>
      </c>
      <c r="B14" s="4"/>
      <c r="C14" s="4" t="s">
        <v>342</v>
      </c>
      <c r="D14" s="4"/>
      <c r="E14" s="4"/>
      <c r="F14" s="4"/>
      <c r="G14" s="4" t="s">
        <v>225</v>
      </c>
      <c r="H14" s="4"/>
    </row>
    <row r="15" spans="1:8">
      <c r="A15" s="5">
        <v>9</v>
      </c>
      <c r="B15" s="4"/>
      <c r="C15" s="4" t="s">
        <v>342</v>
      </c>
      <c r="D15" s="4"/>
      <c r="E15" s="4"/>
      <c r="F15" s="4"/>
      <c r="G15" s="4" t="s">
        <v>225</v>
      </c>
      <c r="H15" s="4"/>
    </row>
    <row r="16" spans="1:8">
      <c r="A16" s="5">
        <v>10</v>
      </c>
      <c r="B16" s="4"/>
      <c r="C16" s="4" t="s">
        <v>342</v>
      </c>
      <c r="D16" s="4"/>
      <c r="E16" s="4"/>
      <c r="F16" s="4"/>
      <c r="G16" s="4" t="s">
        <v>225</v>
      </c>
      <c r="H16" s="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21.95" customHeight="1">
      <c r="A19" s="35" t="s">
        <v>343</v>
      </c>
      <c r="B19" s="34"/>
      <c r="C19" s="34"/>
      <c r="D19" s="34"/>
      <c r="E19" s="34"/>
      <c r="F19" s="34"/>
      <c r="G19" s="34"/>
      <c r="H19" s="34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2" t="s">
        <v>344</v>
      </c>
      <c r="B21" s="2" t="s">
        <v>345</v>
      </c>
      <c r="C21" s="2" t="s">
        <v>346</v>
      </c>
      <c r="D21" s="2" t="s">
        <v>178</v>
      </c>
      <c r="E21" s="2" t="s">
        <v>347</v>
      </c>
      <c r="F21" s="2" t="s">
        <v>348</v>
      </c>
      <c r="G21" s="2" t="s">
        <v>11</v>
      </c>
      <c r="H21" s="2" t="s">
        <v>115</v>
      </c>
    </row>
    <row r="22" spans="1:8">
      <c r="A22" s="5" t="s">
        <v>349</v>
      </c>
      <c r="B22" s="4"/>
      <c r="C22" s="4"/>
      <c r="D22" s="4"/>
      <c r="E22" s="4"/>
      <c r="F22" s="4"/>
      <c r="G22" s="4" t="s">
        <v>225</v>
      </c>
      <c r="H22" s="4"/>
    </row>
    <row r="23" spans="1:8">
      <c r="A23" s="5" t="s">
        <v>350</v>
      </c>
      <c r="B23" s="4"/>
      <c r="C23" s="4"/>
      <c r="D23" s="4"/>
      <c r="E23" s="4"/>
      <c r="F23" s="4"/>
      <c r="G23" s="4" t="s">
        <v>225</v>
      </c>
      <c r="H23" s="4"/>
    </row>
    <row r="24" spans="1:8">
      <c r="A24" s="5" t="s">
        <v>351</v>
      </c>
      <c r="B24" s="4"/>
      <c r="C24" s="4"/>
      <c r="D24" s="4"/>
      <c r="E24" s="4"/>
      <c r="F24" s="4"/>
      <c r="G24" s="4" t="s">
        <v>225</v>
      </c>
      <c r="H24" s="4"/>
    </row>
    <row r="25" spans="1:8">
      <c r="A25" s="5" t="s">
        <v>352</v>
      </c>
      <c r="B25" s="4"/>
      <c r="C25" s="4"/>
      <c r="D25" s="4"/>
      <c r="E25" s="4"/>
      <c r="F25" s="4"/>
      <c r="G25" s="4" t="s">
        <v>225</v>
      </c>
      <c r="H25" s="4"/>
    </row>
    <row r="26" spans="1:8">
      <c r="A26" s="5" t="s">
        <v>353</v>
      </c>
      <c r="B26" s="4"/>
      <c r="C26" s="4"/>
      <c r="D26" s="4"/>
      <c r="E26" s="4"/>
      <c r="F26" s="4"/>
      <c r="G26" s="4" t="s">
        <v>225</v>
      </c>
      <c r="H26" s="4"/>
    </row>
    <row r="27" spans="1:8">
      <c r="A27" s="5" t="s">
        <v>354</v>
      </c>
      <c r="B27" s="4"/>
      <c r="C27" s="4"/>
      <c r="D27" s="4"/>
      <c r="E27" s="4"/>
      <c r="F27" s="4"/>
      <c r="G27" s="4" t="s">
        <v>225</v>
      </c>
      <c r="H27" s="4"/>
    </row>
    <row r="28" spans="1:8">
      <c r="A28" s="5" t="s">
        <v>355</v>
      </c>
      <c r="B28" s="4"/>
      <c r="C28" s="4"/>
      <c r="D28" s="4"/>
      <c r="E28" s="4"/>
      <c r="F28" s="4"/>
      <c r="G28" s="4" t="s">
        <v>225</v>
      </c>
      <c r="H28" s="4"/>
    </row>
    <row r="29" spans="1:8">
      <c r="A29" s="5" t="s">
        <v>356</v>
      </c>
      <c r="B29" s="4"/>
      <c r="C29" s="4"/>
      <c r="D29" s="4"/>
      <c r="E29" s="4"/>
      <c r="F29" s="4"/>
      <c r="G29" s="4" t="s">
        <v>225</v>
      </c>
      <c r="H29" s="4"/>
    </row>
    <row r="30" spans="1:8">
      <c r="A30" s="5" t="s">
        <v>357</v>
      </c>
      <c r="B30" s="4"/>
      <c r="C30" s="4"/>
      <c r="D30" s="4"/>
      <c r="E30" s="4"/>
      <c r="F30" s="4"/>
      <c r="G30" s="4" t="s">
        <v>225</v>
      </c>
      <c r="H30" s="4"/>
    </row>
    <row r="31" spans="1:8">
      <c r="A31" s="5" t="s">
        <v>358</v>
      </c>
      <c r="B31" s="4"/>
      <c r="C31" s="4"/>
      <c r="D31" s="4"/>
      <c r="E31" s="4"/>
      <c r="F31" s="4"/>
      <c r="G31" s="4" t="s">
        <v>225</v>
      </c>
      <c r="H31" s="4"/>
    </row>
  </sheetData>
  <mergeCells count="4">
    <mergeCell ref="A4:H4"/>
    <mergeCell ref="A19:H19"/>
    <mergeCell ref="A2:H2"/>
    <mergeCell ref="A1:H1"/>
  </mergeCells>
  <dataValidations count="1">
    <dataValidation type="list" allowBlank="1" sqref="G7:G16 G22:G31" xr:uid="{00000000-0002-0000-0A00-000000000000}">
      <formula1>"Offen,In Arbeit,Erledigt,Blockiert,Nicht relevant"</formula1>
    </dataValidation>
  </dataValidations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23"/>
  <sheetViews>
    <sheetView showGridLines="0" workbookViewId="0">
      <pane ySplit="17" topLeftCell="A18" activePane="bottomLeft" state="frozen"/>
      <selection pane="bottomLeft"/>
    </sheetView>
  </sheetViews>
  <sheetFormatPr defaultColWidth="9.140625" defaultRowHeight="14.45"/>
  <cols>
    <col min="1" max="1" width="28" customWidth="1"/>
    <col min="2" max="2" width="40" customWidth="1"/>
    <col min="3" max="3" width="30" customWidth="1"/>
    <col min="4" max="4" width="24" customWidth="1"/>
    <col min="5" max="5" width="14" customWidth="1"/>
    <col min="6" max="6" width="18" customWidth="1"/>
    <col min="7" max="7" width="24" customWidth="1"/>
    <col min="8" max="8" width="35" customWidth="1"/>
  </cols>
  <sheetData>
    <row r="1" spans="1:8" ht="32.1" customHeight="1">
      <c r="A1" s="38" t="s">
        <v>359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360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361</v>
      </c>
      <c r="B4" s="34"/>
      <c r="C4" s="34"/>
      <c r="D4" s="34"/>
      <c r="E4" s="34"/>
      <c r="F4" s="34"/>
      <c r="G4" s="34"/>
      <c r="H4" s="34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2" t="s">
        <v>362</v>
      </c>
      <c r="B6" s="2" t="s">
        <v>363</v>
      </c>
      <c r="C6" s="2" t="s">
        <v>364</v>
      </c>
      <c r="D6" s="2" t="s">
        <v>365</v>
      </c>
      <c r="E6" s="2" t="s">
        <v>366</v>
      </c>
      <c r="F6" s="2" t="s">
        <v>168</v>
      </c>
      <c r="G6" s="2" t="s">
        <v>11</v>
      </c>
      <c r="H6" s="2" t="s">
        <v>115</v>
      </c>
    </row>
    <row r="7" spans="1:8">
      <c r="A7" s="5" t="s">
        <v>367</v>
      </c>
      <c r="B7" s="4"/>
      <c r="C7" s="4"/>
      <c r="D7" s="4"/>
      <c r="E7" s="4"/>
      <c r="F7" s="4"/>
      <c r="G7" s="4" t="s">
        <v>225</v>
      </c>
      <c r="H7" s="4"/>
    </row>
    <row r="8" spans="1:8">
      <c r="A8" s="5" t="s">
        <v>368</v>
      </c>
      <c r="B8" s="4"/>
      <c r="C8" s="4"/>
      <c r="D8" s="4"/>
      <c r="E8" s="4"/>
      <c r="F8" s="4"/>
      <c r="G8" s="4" t="s">
        <v>225</v>
      </c>
      <c r="H8" s="4"/>
    </row>
    <row r="9" spans="1:8">
      <c r="A9" s="5" t="s">
        <v>369</v>
      </c>
      <c r="B9" s="4"/>
      <c r="C9" s="4"/>
      <c r="D9" s="4"/>
      <c r="E9" s="4"/>
      <c r="F9" s="4"/>
      <c r="G9" s="4" t="s">
        <v>225</v>
      </c>
      <c r="H9" s="4"/>
    </row>
    <row r="10" spans="1:8">
      <c r="A10" s="5" t="s">
        <v>246</v>
      </c>
      <c r="B10" s="4"/>
      <c r="C10" s="4"/>
      <c r="D10" s="4"/>
      <c r="E10" s="4"/>
      <c r="F10" s="4"/>
      <c r="G10" s="4" t="s">
        <v>225</v>
      </c>
      <c r="H10" s="4"/>
    </row>
    <row r="11" spans="1:8">
      <c r="A11" s="5" t="s">
        <v>370</v>
      </c>
      <c r="B11" s="4"/>
      <c r="C11" s="4"/>
      <c r="D11" s="4"/>
      <c r="E11" s="4"/>
      <c r="F11" s="4"/>
      <c r="G11" s="4" t="s">
        <v>225</v>
      </c>
      <c r="H11" s="4"/>
    </row>
    <row r="12" spans="1:8">
      <c r="A12" s="5" t="s">
        <v>371</v>
      </c>
      <c r="B12" s="4"/>
      <c r="C12" s="4"/>
      <c r="D12" s="4"/>
      <c r="E12" s="4"/>
      <c r="F12" s="4"/>
      <c r="G12" s="4" t="s">
        <v>225</v>
      </c>
      <c r="H12" s="4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 ht="21.95" customHeight="1">
      <c r="A15" s="35" t="s">
        <v>372</v>
      </c>
      <c r="B15" s="34"/>
      <c r="C15" s="34"/>
      <c r="D15" s="34"/>
      <c r="E15" s="34"/>
      <c r="F15" s="34"/>
      <c r="G15" s="34"/>
      <c r="H15" s="34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2" t="s">
        <v>373</v>
      </c>
      <c r="B17" s="2" t="s">
        <v>374</v>
      </c>
      <c r="C17" s="2" t="s">
        <v>375</v>
      </c>
      <c r="D17" s="2" t="s">
        <v>376</v>
      </c>
      <c r="E17" s="2" t="s">
        <v>377</v>
      </c>
      <c r="F17" s="2" t="s">
        <v>378</v>
      </c>
      <c r="G17" s="2" t="s">
        <v>379</v>
      </c>
      <c r="H17" s="2" t="s">
        <v>115</v>
      </c>
    </row>
    <row r="18" spans="1:8" ht="28.9">
      <c r="A18" s="5"/>
      <c r="B18" s="4"/>
      <c r="C18" s="4"/>
      <c r="D18" s="4" t="s">
        <v>380</v>
      </c>
      <c r="E18" s="4" t="s">
        <v>219</v>
      </c>
      <c r="F18" s="4"/>
      <c r="G18" s="4"/>
      <c r="H18" s="4"/>
    </row>
    <row r="19" spans="1:8" ht="28.9">
      <c r="A19" s="5"/>
      <c r="B19" s="4"/>
      <c r="C19" s="4"/>
      <c r="D19" s="4" t="s">
        <v>380</v>
      </c>
      <c r="E19" s="4" t="s">
        <v>219</v>
      </c>
      <c r="F19" s="4"/>
      <c r="G19" s="4"/>
      <c r="H19" s="4"/>
    </row>
    <row r="20" spans="1:8" ht="28.9">
      <c r="A20" s="5"/>
      <c r="B20" s="4"/>
      <c r="C20" s="4"/>
      <c r="D20" s="4" t="s">
        <v>380</v>
      </c>
      <c r="E20" s="4" t="s">
        <v>219</v>
      </c>
      <c r="F20" s="4"/>
      <c r="G20" s="4"/>
      <c r="H20" s="4"/>
    </row>
    <row r="21" spans="1:8" ht="28.9">
      <c r="A21" s="5"/>
      <c r="B21" s="4"/>
      <c r="C21" s="4"/>
      <c r="D21" s="4" t="s">
        <v>380</v>
      </c>
      <c r="E21" s="4" t="s">
        <v>219</v>
      </c>
      <c r="F21" s="4"/>
      <c r="G21" s="4"/>
      <c r="H21" s="4"/>
    </row>
    <row r="22" spans="1:8" ht="28.9">
      <c r="A22" s="5"/>
      <c r="B22" s="4"/>
      <c r="C22" s="4"/>
      <c r="D22" s="4" t="s">
        <v>380</v>
      </c>
      <c r="E22" s="4" t="s">
        <v>219</v>
      </c>
      <c r="F22" s="4"/>
      <c r="G22" s="4"/>
      <c r="H22" s="4"/>
    </row>
    <row r="23" spans="1:8" ht="28.9">
      <c r="A23" s="5"/>
      <c r="B23" s="4"/>
      <c r="C23" s="4"/>
      <c r="D23" s="4" t="s">
        <v>380</v>
      </c>
      <c r="E23" s="4" t="s">
        <v>219</v>
      </c>
      <c r="F23" s="4"/>
      <c r="G23" s="4"/>
      <c r="H23" s="4"/>
    </row>
  </sheetData>
  <mergeCells count="4">
    <mergeCell ref="A15:H15"/>
    <mergeCell ref="A4:H4"/>
    <mergeCell ref="A2:H2"/>
    <mergeCell ref="A1:H1"/>
  </mergeCells>
  <dataValidations count="1">
    <dataValidation type="list" allowBlank="1" sqref="G7:G12" xr:uid="{00000000-0002-0000-0B00-000000000000}">
      <formula1>"Offen,In Arbeit,Erledigt,Blockiert,Nicht relevant"</formula1>
    </dataValidation>
  </dataValidations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44"/>
  <sheetViews>
    <sheetView showGridLines="0" workbookViewId="0">
      <pane ySplit="3" topLeftCell="A4" activePane="bottomLeft" state="frozen"/>
      <selection pane="bottomLeft"/>
    </sheetView>
  </sheetViews>
  <sheetFormatPr defaultColWidth="9.140625" defaultRowHeight="14.45"/>
  <cols>
    <col min="1" max="1" width="24" customWidth="1"/>
    <col min="2" max="2" width="28" customWidth="1"/>
    <col min="3" max="5" width="26" customWidth="1"/>
    <col min="6" max="8" width="22" customWidth="1"/>
  </cols>
  <sheetData>
    <row r="1" spans="1:8" ht="32.1" customHeight="1">
      <c r="A1" s="38" t="s">
        <v>381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382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383</v>
      </c>
      <c r="B4" s="34"/>
      <c r="C4" s="34"/>
      <c r="D4" s="34"/>
      <c r="E4" s="34"/>
      <c r="F4" s="34"/>
      <c r="G4" s="34"/>
      <c r="H4" s="34"/>
    </row>
    <row r="5" spans="1:8">
      <c r="A5" s="42" t="s">
        <v>384</v>
      </c>
      <c r="B5" s="34"/>
      <c r="C5" s="34"/>
      <c r="D5" s="34"/>
      <c r="E5" s="34"/>
      <c r="F5" s="34"/>
      <c r="G5" s="34"/>
      <c r="H5" s="34"/>
    </row>
    <row r="6" spans="1:8">
      <c r="A6" s="34"/>
      <c r="B6" s="34"/>
      <c r="C6" s="34"/>
      <c r="D6" s="34"/>
      <c r="E6" s="34"/>
      <c r="F6" s="34"/>
      <c r="G6" s="34"/>
      <c r="H6" s="34"/>
    </row>
    <row r="7" spans="1:8">
      <c r="A7" s="34"/>
      <c r="B7" s="34"/>
      <c r="C7" s="34"/>
      <c r="D7" s="34"/>
      <c r="E7" s="34"/>
      <c r="F7" s="34"/>
      <c r="G7" s="34"/>
      <c r="H7" s="34"/>
    </row>
    <row r="8" spans="1:8">
      <c r="A8" s="34"/>
      <c r="B8" s="34"/>
      <c r="C8" s="34"/>
      <c r="D8" s="34"/>
      <c r="E8" s="34"/>
      <c r="F8" s="34"/>
      <c r="G8" s="34"/>
      <c r="H8" s="34"/>
    </row>
    <row r="9" spans="1:8">
      <c r="A9" s="1"/>
      <c r="B9" s="1"/>
      <c r="C9" s="1"/>
      <c r="D9" s="1"/>
      <c r="E9" s="1"/>
      <c r="F9" s="1"/>
      <c r="G9" s="1"/>
      <c r="H9" s="1"/>
    </row>
    <row r="10" spans="1:8" ht="21.95" customHeight="1">
      <c r="A10" s="35" t="s">
        <v>385</v>
      </c>
      <c r="B10" s="34"/>
      <c r="C10" s="34"/>
      <c r="D10" s="34"/>
      <c r="E10" s="34"/>
      <c r="F10" s="34"/>
      <c r="G10" s="34"/>
      <c r="H10" s="34"/>
    </row>
    <row r="11" spans="1:8">
      <c r="A11" s="42" t="s">
        <v>386</v>
      </c>
      <c r="B11" s="34"/>
      <c r="C11" s="34"/>
      <c r="D11" s="34"/>
      <c r="E11" s="34"/>
      <c r="F11" s="34"/>
      <c r="G11" s="34"/>
      <c r="H11" s="34"/>
    </row>
    <row r="12" spans="1:8">
      <c r="A12" s="34"/>
      <c r="B12" s="34"/>
      <c r="C12" s="34"/>
      <c r="D12" s="34"/>
      <c r="E12" s="34"/>
      <c r="F12" s="34"/>
      <c r="G12" s="34"/>
      <c r="H12" s="34"/>
    </row>
    <row r="13" spans="1:8">
      <c r="A13" s="34"/>
      <c r="B13" s="34"/>
      <c r="C13" s="34"/>
      <c r="D13" s="34"/>
      <c r="E13" s="34"/>
      <c r="F13" s="34"/>
      <c r="G13" s="34"/>
      <c r="H13" s="34"/>
    </row>
    <row r="14" spans="1:8">
      <c r="A14" s="34"/>
      <c r="B14" s="34"/>
      <c r="C14" s="34"/>
      <c r="D14" s="34"/>
      <c r="E14" s="34"/>
      <c r="F14" s="34"/>
      <c r="G14" s="34"/>
      <c r="H14" s="34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 ht="21.95" customHeight="1">
      <c r="A16" s="35" t="s">
        <v>387</v>
      </c>
      <c r="B16" s="34"/>
      <c r="C16" s="34"/>
      <c r="D16" s="34"/>
      <c r="E16" s="34"/>
      <c r="F16" s="34"/>
      <c r="G16" s="34"/>
      <c r="H16" s="34"/>
    </row>
    <row r="17" spans="1:8">
      <c r="A17" s="42" t="s">
        <v>388</v>
      </c>
      <c r="B17" s="34"/>
      <c r="C17" s="34"/>
      <c r="D17" s="34"/>
      <c r="E17" s="34"/>
      <c r="F17" s="34"/>
      <c r="G17" s="34"/>
      <c r="H17" s="34"/>
    </row>
    <row r="18" spans="1:8">
      <c r="A18" s="34"/>
      <c r="B18" s="34"/>
      <c r="C18" s="34"/>
      <c r="D18" s="34"/>
      <c r="E18" s="34"/>
      <c r="F18" s="34"/>
      <c r="G18" s="34"/>
      <c r="H18" s="34"/>
    </row>
    <row r="19" spans="1:8">
      <c r="A19" s="34"/>
      <c r="B19" s="34"/>
      <c r="C19" s="34"/>
      <c r="D19" s="34"/>
      <c r="E19" s="34"/>
      <c r="F19" s="34"/>
      <c r="G19" s="34"/>
      <c r="H19" s="34"/>
    </row>
    <row r="20" spans="1:8">
      <c r="A20" s="34"/>
      <c r="B20" s="34"/>
      <c r="C20" s="34"/>
      <c r="D20" s="34"/>
      <c r="E20" s="34"/>
      <c r="F20" s="34"/>
      <c r="G20" s="34"/>
      <c r="H20" s="34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 ht="21.95" customHeight="1">
      <c r="A22" s="35" t="s">
        <v>389</v>
      </c>
      <c r="B22" s="34"/>
      <c r="C22" s="34"/>
      <c r="D22" s="34"/>
      <c r="E22" s="34"/>
      <c r="F22" s="34"/>
      <c r="G22" s="34"/>
      <c r="H22" s="34"/>
    </row>
    <row r="23" spans="1:8">
      <c r="A23" s="42" t="s">
        <v>390</v>
      </c>
      <c r="B23" s="34"/>
      <c r="C23" s="34"/>
      <c r="D23" s="34"/>
      <c r="E23" s="34"/>
      <c r="F23" s="34"/>
      <c r="G23" s="34"/>
      <c r="H23" s="34"/>
    </row>
    <row r="24" spans="1:8">
      <c r="A24" s="34"/>
      <c r="B24" s="34"/>
      <c r="C24" s="34"/>
      <c r="D24" s="34"/>
      <c r="E24" s="34"/>
      <c r="F24" s="34"/>
      <c r="G24" s="34"/>
      <c r="H24" s="34"/>
    </row>
    <row r="25" spans="1:8">
      <c r="A25" s="34"/>
      <c r="B25" s="34"/>
      <c r="C25" s="34"/>
      <c r="D25" s="34"/>
      <c r="E25" s="34"/>
      <c r="F25" s="34"/>
      <c r="G25" s="34"/>
      <c r="H25" s="34"/>
    </row>
    <row r="26" spans="1:8">
      <c r="A26" s="34"/>
      <c r="B26" s="34"/>
      <c r="C26" s="34"/>
      <c r="D26" s="34"/>
      <c r="E26" s="34"/>
      <c r="F26" s="34"/>
      <c r="G26" s="34"/>
      <c r="H26" s="34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 ht="21.95" customHeight="1">
      <c r="A28" s="35" t="s">
        <v>391</v>
      </c>
      <c r="B28" s="34"/>
      <c r="C28" s="34"/>
      <c r="D28" s="34"/>
      <c r="E28" s="34"/>
      <c r="F28" s="34"/>
      <c r="G28" s="34"/>
      <c r="H28" s="34"/>
    </row>
    <row r="29" spans="1:8">
      <c r="A29" s="42" t="s">
        <v>392</v>
      </c>
      <c r="B29" s="34"/>
      <c r="C29" s="34"/>
      <c r="D29" s="34"/>
      <c r="E29" s="34"/>
      <c r="F29" s="34"/>
      <c r="G29" s="34"/>
      <c r="H29" s="34"/>
    </row>
    <row r="30" spans="1:8">
      <c r="A30" s="34"/>
      <c r="B30" s="34"/>
      <c r="C30" s="34"/>
      <c r="D30" s="34"/>
      <c r="E30" s="34"/>
      <c r="F30" s="34"/>
      <c r="G30" s="34"/>
      <c r="H30" s="34"/>
    </row>
    <row r="31" spans="1:8">
      <c r="A31" s="34"/>
      <c r="B31" s="34"/>
      <c r="C31" s="34"/>
      <c r="D31" s="34"/>
      <c r="E31" s="34"/>
      <c r="F31" s="34"/>
      <c r="G31" s="34"/>
      <c r="H31" s="34"/>
    </row>
    <row r="32" spans="1:8">
      <c r="A32" s="34"/>
      <c r="B32" s="34"/>
      <c r="C32" s="34"/>
      <c r="D32" s="34"/>
      <c r="E32" s="34"/>
      <c r="F32" s="34"/>
      <c r="G32" s="34"/>
      <c r="H32" s="34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 ht="21.95" customHeight="1">
      <c r="A34" s="35" t="s">
        <v>393</v>
      </c>
      <c r="B34" s="34"/>
      <c r="C34" s="34"/>
      <c r="D34" s="34"/>
      <c r="E34" s="34"/>
      <c r="F34" s="34"/>
      <c r="G34" s="34"/>
      <c r="H34" s="34"/>
    </row>
    <row r="35" spans="1:8">
      <c r="A35" s="42" t="s">
        <v>394</v>
      </c>
      <c r="B35" s="34"/>
      <c r="C35" s="34"/>
      <c r="D35" s="34"/>
      <c r="E35" s="34"/>
      <c r="F35" s="34"/>
      <c r="G35" s="34"/>
      <c r="H35" s="34"/>
    </row>
    <row r="36" spans="1:8">
      <c r="A36" s="34"/>
      <c r="B36" s="34"/>
      <c r="C36" s="34"/>
      <c r="D36" s="34"/>
      <c r="E36" s="34"/>
      <c r="F36" s="34"/>
      <c r="G36" s="34"/>
      <c r="H36" s="34"/>
    </row>
    <row r="37" spans="1:8">
      <c r="A37" s="34"/>
      <c r="B37" s="34"/>
      <c r="C37" s="34"/>
      <c r="D37" s="34"/>
      <c r="E37" s="34"/>
      <c r="F37" s="34"/>
      <c r="G37" s="34"/>
      <c r="H37" s="34"/>
    </row>
    <row r="38" spans="1:8">
      <c r="A38" s="34"/>
      <c r="B38" s="34"/>
      <c r="C38" s="34"/>
      <c r="D38" s="34"/>
      <c r="E38" s="34"/>
      <c r="F38" s="34"/>
      <c r="G38" s="34"/>
      <c r="H38" s="34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 ht="21.95" customHeight="1">
      <c r="A40" s="35" t="s">
        <v>395</v>
      </c>
      <c r="B40" s="34"/>
      <c r="C40" s="34"/>
      <c r="D40" s="34"/>
      <c r="E40" s="34"/>
      <c r="F40" s="34"/>
      <c r="G40" s="34"/>
      <c r="H40" s="34"/>
    </row>
    <row r="41" spans="1:8">
      <c r="A41" s="42" t="s">
        <v>396</v>
      </c>
      <c r="B41" s="34"/>
      <c r="C41" s="34"/>
      <c r="D41" s="34"/>
      <c r="E41" s="34"/>
      <c r="F41" s="34"/>
      <c r="G41" s="34"/>
      <c r="H41" s="34"/>
    </row>
    <row r="42" spans="1:8">
      <c r="A42" s="34"/>
      <c r="B42" s="34"/>
      <c r="C42" s="34"/>
      <c r="D42" s="34"/>
      <c r="E42" s="34"/>
      <c r="F42" s="34"/>
      <c r="G42" s="34"/>
      <c r="H42" s="34"/>
    </row>
    <row r="43" spans="1:8">
      <c r="A43" s="34"/>
      <c r="B43" s="34"/>
      <c r="C43" s="34"/>
      <c r="D43" s="34"/>
      <c r="E43" s="34"/>
      <c r="F43" s="34"/>
      <c r="G43" s="34"/>
      <c r="H43" s="34"/>
    </row>
    <row r="44" spans="1:8">
      <c r="A44" s="34"/>
      <c r="B44" s="34"/>
      <c r="C44" s="34"/>
      <c r="D44" s="34"/>
      <c r="E44" s="34"/>
      <c r="F44" s="34"/>
      <c r="G44" s="34"/>
      <c r="H44" s="34"/>
    </row>
  </sheetData>
  <mergeCells count="16">
    <mergeCell ref="A1:H1"/>
    <mergeCell ref="A22:H22"/>
    <mergeCell ref="A34:H34"/>
    <mergeCell ref="A23:H26"/>
    <mergeCell ref="A4:H4"/>
    <mergeCell ref="A17:H20"/>
    <mergeCell ref="A41:H44"/>
    <mergeCell ref="A2:H2"/>
    <mergeCell ref="A16:H16"/>
    <mergeCell ref="A11:H14"/>
    <mergeCell ref="A10:H10"/>
    <mergeCell ref="A28:H28"/>
    <mergeCell ref="A5:H8"/>
    <mergeCell ref="A29:H32"/>
    <mergeCell ref="A35:H38"/>
    <mergeCell ref="A40:H40"/>
  </mergeCells>
  <pageMargins left="0.75" right="0.75" top="1" bottom="1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20"/>
  <sheetViews>
    <sheetView showGridLines="0" workbookViewId="0">
      <pane ySplit="16" topLeftCell="A17" activePane="bottomLeft" state="frozen"/>
      <selection pane="bottomLeft"/>
    </sheetView>
  </sheetViews>
  <sheetFormatPr defaultColWidth="9.140625" defaultRowHeight="14.45"/>
  <cols>
    <col min="1" max="1" width="36" customWidth="1"/>
    <col min="2" max="2" width="100" customWidth="1"/>
    <col min="3" max="5" width="26" customWidth="1"/>
    <col min="6" max="8" width="22" customWidth="1"/>
  </cols>
  <sheetData>
    <row r="1" spans="1:8" ht="32.1" customHeight="1">
      <c r="A1" s="38" t="s">
        <v>397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398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2" t="s">
        <v>399</v>
      </c>
      <c r="B4" s="2" t="s">
        <v>400</v>
      </c>
      <c r="C4" s="1"/>
      <c r="D4" s="1"/>
      <c r="E4" s="1"/>
      <c r="F4" s="1"/>
      <c r="G4" s="1"/>
      <c r="H4" s="1"/>
    </row>
    <row r="5" spans="1:8">
      <c r="A5" s="5" t="s">
        <v>401</v>
      </c>
      <c r="B5" s="4" t="s">
        <v>402</v>
      </c>
      <c r="C5" s="1"/>
      <c r="D5" s="1"/>
      <c r="E5" s="1"/>
      <c r="F5" s="1"/>
      <c r="G5" s="1"/>
      <c r="H5" s="1"/>
    </row>
    <row r="6" spans="1:8">
      <c r="A6" s="5" t="s">
        <v>403</v>
      </c>
      <c r="B6" s="4" t="s">
        <v>404</v>
      </c>
      <c r="C6" s="1"/>
      <c r="D6" s="1"/>
      <c r="E6" s="1"/>
      <c r="F6" s="1"/>
      <c r="G6" s="1"/>
      <c r="H6" s="1"/>
    </row>
    <row r="7" spans="1:8">
      <c r="A7" s="5" t="s">
        <v>230</v>
      </c>
      <c r="B7" s="4" t="s">
        <v>405</v>
      </c>
      <c r="C7" s="1"/>
      <c r="D7" s="1"/>
      <c r="E7" s="1"/>
      <c r="F7" s="1"/>
      <c r="G7" s="1"/>
      <c r="H7" s="1"/>
    </row>
    <row r="8" spans="1:8">
      <c r="A8" s="5" t="s">
        <v>244</v>
      </c>
      <c r="B8" s="4" t="s">
        <v>406</v>
      </c>
      <c r="C8" s="1"/>
      <c r="D8" s="1"/>
      <c r="E8" s="1"/>
      <c r="F8" s="1"/>
      <c r="G8" s="1"/>
      <c r="H8" s="1"/>
    </row>
    <row r="9" spans="1:8">
      <c r="A9" s="5" t="s">
        <v>245</v>
      </c>
      <c r="B9" s="4" t="s">
        <v>407</v>
      </c>
      <c r="C9" s="1"/>
      <c r="D9" s="1"/>
      <c r="E9" s="1"/>
      <c r="F9" s="1"/>
      <c r="G9" s="1"/>
      <c r="H9" s="1"/>
    </row>
    <row r="10" spans="1:8">
      <c r="A10" s="5" t="s">
        <v>408</v>
      </c>
      <c r="B10" s="4" t="s">
        <v>409</v>
      </c>
      <c r="C10" s="1"/>
      <c r="D10" s="1"/>
      <c r="E10" s="1"/>
      <c r="F10" s="1"/>
      <c r="G10" s="1"/>
      <c r="H10" s="1"/>
    </row>
    <row r="11" spans="1:8">
      <c r="A11" s="5" t="s">
        <v>410</v>
      </c>
      <c r="B11" s="4" t="s">
        <v>411</v>
      </c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21.95" customHeight="1">
      <c r="A14" s="35" t="s">
        <v>412</v>
      </c>
      <c r="B14" s="34"/>
      <c r="C14" s="34"/>
      <c r="D14" s="34"/>
      <c r="E14" s="34"/>
      <c r="F14" s="34"/>
      <c r="G14" s="34"/>
      <c r="H14" s="34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2" t="s">
        <v>413</v>
      </c>
      <c r="B16" s="2" t="s">
        <v>414</v>
      </c>
      <c r="C16" s="1"/>
      <c r="D16" s="1"/>
      <c r="E16" s="1"/>
      <c r="F16" s="1"/>
      <c r="G16" s="1"/>
      <c r="H16" s="1"/>
    </row>
    <row r="17" spans="1:8" ht="28.9">
      <c r="A17" s="5"/>
      <c r="B17" s="4"/>
      <c r="C17" s="1"/>
      <c r="D17" s="1"/>
      <c r="E17" s="1"/>
      <c r="F17" s="1"/>
      <c r="G17" s="1"/>
      <c r="H17" s="1"/>
    </row>
    <row r="18" spans="1:8" ht="28.9">
      <c r="A18" s="5"/>
      <c r="B18" s="4"/>
      <c r="C18" s="1"/>
      <c r="D18" s="1"/>
      <c r="E18" s="1"/>
      <c r="F18" s="1"/>
      <c r="G18" s="1"/>
      <c r="H18" s="1"/>
    </row>
    <row r="19" spans="1:8">
      <c r="A19" s="5"/>
      <c r="B19" s="4"/>
      <c r="C19" s="1"/>
      <c r="D19" s="1"/>
      <c r="E19" s="1"/>
      <c r="F19" s="1"/>
      <c r="G19" s="1"/>
      <c r="H19" s="1"/>
    </row>
    <row r="20" spans="1:8">
      <c r="A20" s="5"/>
      <c r="B20" s="4"/>
      <c r="C20" s="1"/>
      <c r="D20" s="1"/>
      <c r="E20" s="1"/>
      <c r="F20" s="1"/>
      <c r="G20" s="1"/>
      <c r="H20" s="1"/>
    </row>
  </sheetData>
  <mergeCells count="3">
    <mergeCell ref="A14:H14"/>
    <mergeCell ref="A2:H2"/>
    <mergeCell ref="A1:H1"/>
  </mergeCells>
  <pageMargins left="0.75" right="0.75" top="1" bottom="1" header="0.5" footer="0.5"/>
  <pageSetup fitToHeight="0" orientation="landscape"/>
  <legacy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21"/>
  <sheetViews>
    <sheetView showGridLines="0" workbookViewId="0">
      <pane ySplit="3" topLeftCell="A4" activePane="bottomLeft" state="frozen"/>
      <selection pane="bottomLeft"/>
    </sheetView>
  </sheetViews>
  <sheetFormatPr defaultColWidth="9.140625" defaultRowHeight="14.45"/>
  <cols>
    <col min="1" max="1" width="24" customWidth="1"/>
    <col min="2" max="2" width="28" customWidth="1"/>
    <col min="3" max="5" width="26" customWidth="1"/>
    <col min="6" max="8" width="22" customWidth="1"/>
  </cols>
  <sheetData>
    <row r="1" spans="1:8" ht="32.1" customHeight="1">
      <c r="A1" s="38" t="s">
        <v>415</v>
      </c>
      <c r="B1" s="34"/>
      <c r="C1" s="34"/>
      <c r="D1" s="34"/>
      <c r="E1" s="34"/>
      <c r="F1" s="34"/>
      <c r="G1" s="34"/>
      <c r="H1" s="34"/>
    </row>
    <row r="2" spans="1:8" ht="24" customHeight="1">
      <c r="A2" s="36" t="s">
        <v>416</v>
      </c>
      <c r="B2" s="34"/>
      <c r="C2" s="34"/>
      <c r="D2" s="34"/>
      <c r="E2" s="34"/>
      <c r="F2" s="34"/>
      <c r="G2" s="34"/>
      <c r="H2" s="34"/>
    </row>
    <row r="3" spans="1:8">
      <c r="A3" s="1"/>
      <c r="B3" s="1"/>
      <c r="C3" s="1"/>
      <c r="D3" s="1"/>
      <c r="E3" s="1"/>
      <c r="F3" s="1"/>
      <c r="G3" s="1"/>
      <c r="H3" s="1"/>
    </row>
    <row r="4" spans="1:8" ht="21.95" customHeight="1">
      <c r="A4" s="35" t="s">
        <v>417</v>
      </c>
      <c r="B4" s="34"/>
      <c r="C4" s="34"/>
      <c r="D4" s="34"/>
      <c r="E4" s="34"/>
      <c r="F4" s="34"/>
      <c r="G4" s="34"/>
      <c r="H4" s="34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6" t="s">
        <v>418</v>
      </c>
      <c r="B6" s="8">
        <f>'04 KI Use Case'!B28</f>
        <v>0</v>
      </c>
      <c r="C6" s="1"/>
      <c r="D6" s="1"/>
      <c r="E6" s="1"/>
      <c r="F6" s="1"/>
      <c r="G6" s="1"/>
      <c r="H6" s="1"/>
    </row>
    <row r="7" spans="1:8">
      <c r="A7" s="6" t="s">
        <v>419</v>
      </c>
      <c r="B7" s="8" t="str">
        <f>'04 KI Use Case'!B29</f>
        <v>Nicht geeignet</v>
      </c>
      <c r="C7" s="1"/>
      <c r="D7" s="1"/>
      <c r="E7" s="1"/>
      <c r="F7" s="1"/>
      <c r="G7" s="1"/>
      <c r="H7" s="1"/>
    </row>
    <row r="8" spans="1:8">
      <c r="A8" s="6" t="s">
        <v>420</v>
      </c>
      <c r="B8" s="9" t="e">
        <f>'02 Business Case'!#REF!</f>
        <v>#REF!</v>
      </c>
      <c r="C8" s="1"/>
      <c r="D8" s="1"/>
      <c r="E8" s="1"/>
      <c r="F8" s="1"/>
      <c r="G8" s="1"/>
      <c r="H8" s="1"/>
    </row>
    <row r="9" spans="1:8">
      <c r="A9" s="6" t="s">
        <v>421</v>
      </c>
      <c r="B9" s="10" t="e">
        <f>'02 Business Case'!#REF!</f>
        <v>#REF!</v>
      </c>
      <c r="C9" s="1"/>
      <c r="D9" s="1"/>
      <c r="E9" s="1"/>
      <c r="F9" s="1"/>
      <c r="G9" s="1"/>
      <c r="H9" s="1"/>
    </row>
    <row r="10" spans="1:8">
      <c r="A10" s="6" t="s">
        <v>422</v>
      </c>
      <c r="B10" s="10" t="e">
        <f>'02 Business Case'!#REF!</f>
        <v>#REF!</v>
      </c>
      <c r="C10" s="1"/>
      <c r="D10" s="1"/>
      <c r="E10" s="1"/>
      <c r="F10" s="1"/>
      <c r="G10" s="1"/>
      <c r="H10" s="1"/>
    </row>
    <row r="11" spans="1:8">
      <c r="A11" s="6" t="s">
        <v>423</v>
      </c>
      <c r="B11" s="9" t="e">
        <f>'02 Business Case'!#REF!</f>
        <v>#REF!</v>
      </c>
      <c r="C11" s="1"/>
      <c r="D11" s="1"/>
      <c r="E11" s="1"/>
      <c r="F11" s="1"/>
      <c r="G11" s="1"/>
      <c r="H11" s="1"/>
    </row>
    <row r="12" spans="1:8">
      <c r="A12" s="6" t="s">
        <v>424</v>
      </c>
      <c r="B12" s="11">
        <f>COUNTIF(tblRisiken[Status],"Offen")</f>
        <v>10</v>
      </c>
      <c r="C12" s="1"/>
      <c r="D12" s="1"/>
      <c r="E12" s="1"/>
      <c r="F12" s="1"/>
      <c r="G12" s="1"/>
      <c r="H12" s="1"/>
    </row>
    <row r="13" spans="1:8">
      <c r="A13" s="6" t="s">
        <v>425</v>
      </c>
      <c r="B13" s="11">
        <f>COUNTIF(tblEntscheidungen[Status],"Offen")</f>
        <v>8</v>
      </c>
      <c r="C13" s="1"/>
      <c r="D13" s="1"/>
      <c r="E13" s="1"/>
      <c r="F13" s="1"/>
      <c r="G13" s="1"/>
      <c r="H13" s="1"/>
    </row>
    <row r="14" spans="1:8">
      <c r="A14" s="6" t="s">
        <v>426</v>
      </c>
      <c r="B14" s="11">
        <f>COUNTIF(tblCompliance[Status],"Offen")</f>
        <v>8</v>
      </c>
      <c r="C14" s="1"/>
      <c r="D14" s="1"/>
      <c r="E14" s="1"/>
      <c r="F14" s="1"/>
      <c r="G14" s="1"/>
      <c r="H14" s="1"/>
    </row>
    <row r="15" spans="1:8">
      <c r="A15" s="6" t="s">
        <v>427</v>
      </c>
      <c r="B15" s="11">
        <f>COUNTIF(tblMeilensteine[Status],"Offen")</f>
        <v>9</v>
      </c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1.95" customHeight="1">
      <c r="A18" s="35" t="s">
        <v>428</v>
      </c>
      <c r="B18" s="34"/>
      <c r="C18" s="34"/>
      <c r="D18" s="34"/>
      <c r="E18" s="34"/>
      <c r="F18" s="34"/>
      <c r="G18" s="34"/>
      <c r="H18" s="34"/>
    </row>
    <row r="19" spans="1:8">
      <c r="A19" s="8" t="s">
        <v>429</v>
      </c>
      <c r="B19" s="33" t="s">
        <v>430</v>
      </c>
      <c r="C19" s="34"/>
      <c r="D19" s="34"/>
      <c r="E19" s="34"/>
      <c r="F19" s="34"/>
      <c r="G19" s="34"/>
      <c r="H19" s="34"/>
    </row>
    <row r="20" spans="1:8">
      <c r="A20" s="12" t="s">
        <v>431</v>
      </c>
      <c r="B20" s="33" t="s">
        <v>432</v>
      </c>
      <c r="C20" s="34"/>
      <c r="D20" s="34"/>
      <c r="E20" s="34"/>
      <c r="F20" s="34"/>
      <c r="G20" s="34"/>
      <c r="H20" s="34"/>
    </row>
    <row r="21" spans="1:8">
      <c r="A21" s="13" t="s">
        <v>433</v>
      </c>
      <c r="B21" s="33" t="s">
        <v>434</v>
      </c>
      <c r="C21" s="34"/>
      <c r="D21" s="34"/>
      <c r="E21" s="34"/>
      <c r="F21" s="34"/>
      <c r="G21" s="34"/>
      <c r="H21" s="34"/>
    </row>
  </sheetData>
  <mergeCells count="7">
    <mergeCell ref="A18:H18"/>
    <mergeCell ref="A4:H4"/>
    <mergeCell ref="B21:H21"/>
    <mergeCell ref="A2:H2"/>
    <mergeCell ref="A1:H1"/>
    <mergeCell ref="B19:H19"/>
    <mergeCell ref="B20:H20"/>
  </mergeCells>
  <pageMargins left="0.75" right="0.75" top="1" bottom="1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3c1a08-8334-48d2-b791-fce6e2ad203c">
      <Terms xmlns="http://schemas.microsoft.com/office/infopath/2007/PartnerControls"/>
    </lcf76f155ced4ddcb4097134ff3c332f>
    <TaxCatchAll xmlns="e4a249f4-07be-4fbf-a2e2-d6a91fa2130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AC55F89A990B438559E54F572128AE" ma:contentTypeVersion="10" ma:contentTypeDescription="Create a new document." ma:contentTypeScope="" ma:versionID="ded9bcd14b56c18b4bb9ce97c2fb2b07">
  <xsd:schema xmlns:xsd="http://www.w3.org/2001/XMLSchema" xmlns:xs="http://www.w3.org/2001/XMLSchema" xmlns:p="http://schemas.microsoft.com/office/2006/metadata/properties" xmlns:ns2="383c1a08-8334-48d2-b791-fce6e2ad203c" xmlns:ns3="e4a249f4-07be-4fbf-a2e2-d6a91fa21302" targetNamespace="http://schemas.microsoft.com/office/2006/metadata/properties" ma:root="true" ma:fieldsID="4e7adad1906fa6d424751cac303d55a9" ns2:_="" ns3:_="">
    <xsd:import namespace="383c1a08-8334-48d2-b791-fce6e2ad203c"/>
    <xsd:import namespace="e4a249f4-07be-4fbf-a2e2-d6a91fa213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c1a08-8334-48d2-b791-fce6e2ad2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d931e2-e8c3-4528-9d1a-3a295deca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a249f4-07be-4fbf-a2e2-d6a91fa213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52049a-33f9-4b89-97cd-df9a854e5ce9}" ma:internalName="TaxCatchAll" ma:showField="CatchAllData" ma:web="e4a249f4-07be-4fbf-a2e2-d6a91fa213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D3BFE1-8AFF-447E-9184-043953B3B518}"/>
</file>

<file path=customXml/itemProps2.xml><?xml version="1.0" encoding="utf-8"?>
<ds:datastoreItem xmlns:ds="http://schemas.openxmlformats.org/officeDocument/2006/customXml" ds:itemID="{2C1B2E3B-B797-4DBB-B900-EC87ED190AA0}"/>
</file>

<file path=customXml/itemProps3.xml><?xml version="1.0" encoding="utf-8"?>
<ds:datastoreItem xmlns:ds="http://schemas.openxmlformats.org/officeDocument/2006/customXml" ds:itemID="{F03A4A24-0781-4F26-86AE-4E38AB95D1D4}"/>
</file>

<file path=docMetadata/LabelInfo.xml><?xml version="1.0" encoding="utf-8"?>
<clbl:labelList xmlns:clbl="http://schemas.microsoft.com/office/2020/mipLabelMetadata">
  <clbl:label id="{c86d38c7-7bc0-4ac3-ae17-b950ef1213ea}" enabled="1" method="Standard" siteId="{4371d763-27d2-4441-a6dd-2cb1fc7426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PDD current state template</dc:title>
  <dc:subject>Sanitized template</dc:subject>
  <dc:creator>Zukunftswerkstatt</dc:creator>
  <cp:keywords/>
  <dc:description>Sanitized template</dc:description>
  <cp:lastModifiedBy>Zukunftswerkstatt</cp:lastModifiedBy>
  <cp:revision/>
  <dcterms:created xsi:type="dcterms:W3CDTF">2026-07-31T15:08:15Z</dcterms:created>
  <dcterms:modified xsi:type="dcterms:W3CDTF">2026-08-12T10:56:52Z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0x01010027AC55F89A990B438559E54F572128AE</vt:lpwstr>
  </property>
  <property fmtid="{D5CDD505-2E9C-101B-9397-08002B2CF9AE}" pid="3" name="MediaServiceImageTags">
    <vt:lpwstr/>
  </property>
  <property fmtid="{D5CDD505-2E9C-101B-9397-08002B2CF9AE}" pid="4" name="MSIP_Label_bd00227b-6150-464b-a011-b6bd2c981c4a_Enabled">
    <vt:lpwstr>true</vt:lpwstr>
  </property>
  <property fmtid="{D5CDD505-2E9C-101B-9397-08002B2CF9AE}" pid="5" name="MSIP_Label_bd00227b-6150-464b-a011-b6bd2c981c4a_SetDate">
    <vt:lpwstr>2026-08-11T08:31:39Z</vt:lpwstr>
  </property>
  <property fmtid="{D5CDD505-2E9C-101B-9397-08002B2CF9AE}" pid="6" name="MSIP_Label_bd00227b-6150-464b-a011-b6bd2c981c4a_Method">
    <vt:lpwstr>Standard</vt:lpwstr>
  </property>
  <property fmtid="{D5CDD505-2E9C-101B-9397-08002B2CF9AE}" pid="7" name="MSIP_Label_bd00227b-6150-464b-a011-b6bd2c981c4a_Name">
    <vt:lpwstr>C2_Interner_Gebrauch_uneingeschraenkt</vt:lpwstr>
  </property>
  <property fmtid="{D5CDD505-2E9C-101B-9397-08002B2CF9AE}" pid="8" name="MSIP_Label_bd00227b-6150-464b-a011-b6bd2c981c4a_SiteId">
    <vt:lpwstr>839efbc5-f02e-4308-9469-fa15e8bb9280</vt:lpwstr>
  </property>
  <property fmtid="{D5CDD505-2E9C-101B-9397-08002B2CF9AE}" pid="9" name="MSIP_Label_bd00227b-6150-464b-a011-b6bd2c981c4a_ActionId">
    <vt:lpwstr>32adac1a-b4b1-4bee-be75-273510fcbdb3</vt:lpwstr>
  </property>
  <property fmtid="{D5CDD505-2E9C-101B-9397-08002B2CF9AE}" pid="10" name="MSIP_Label_bd00227b-6150-464b-a011-b6bd2c981c4a_ContentBits">
    <vt:lpwstr>0</vt:lpwstr>
  </property>
  <property fmtid="{D5CDD505-2E9C-101B-9397-08002B2CF9AE}" pid="11" name="MSIP_Label_bd00227b-6150-464b-a011-b6bd2c981c4a_Tag">
    <vt:lpwstr>10, 3, 0, 1</vt:lpwstr>
  </property>
</Properties>
</file>